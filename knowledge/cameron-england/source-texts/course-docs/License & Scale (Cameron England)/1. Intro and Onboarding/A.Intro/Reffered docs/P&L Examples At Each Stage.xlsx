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$20k - $40k  month" sheetId="1" r:id="rId4"/>
    <sheet state="visible" name="$40k - $80k  month" sheetId="2" r:id="rId5"/>
    <sheet state="visible" name="$80k - $150k  month" sheetId="3" r:id="rId6"/>
    <sheet state="visible" name="$150k  $250k  month" sheetId="4" r:id="rId7"/>
  </sheets>
  <definedNames/>
  <calcPr/>
</workbook>
</file>

<file path=xl/sharedStrings.xml><?xml version="1.0" encoding="utf-8"?>
<sst xmlns="http://schemas.openxmlformats.org/spreadsheetml/2006/main" count="265" uniqueCount="83">
  <si>
    <t>$20k - $40k/mo</t>
  </si>
  <si>
    <t>Financial Overview</t>
  </si>
  <si>
    <t>TITLE</t>
  </si>
  <si>
    <t>Amount</t>
  </si>
  <si>
    <t>Yearly</t>
  </si>
  <si>
    <t>CATEGORY</t>
  </si>
  <si>
    <t>AMOUNT</t>
  </si>
  <si>
    <t>%</t>
  </si>
  <si>
    <t>TARGET</t>
  </si>
  <si>
    <t>PROJECTED new cash</t>
  </si>
  <si>
    <t>EXPENSE SPLIT</t>
  </si>
  <si>
    <t>PROJECTED Recurring Revenue</t>
  </si>
  <si>
    <t>Overhead</t>
  </si>
  <si>
    <t xml:space="preserve">Projected Refunds </t>
  </si>
  <si>
    <t>Labour</t>
  </si>
  <si>
    <t>Active Clients</t>
  </si>
  <si>
    <t>15-25</t>
  </si>
  <si>
    <t>Marketing</t>
  </si>
  <si>
    <t>Profit / Expense Overview</t>
  </si>
  <si>
    <t>Total Expenses (Before Personal &amp; other)</t>
  </si>
  <si>
    <t>Total Income (Before Personal &amp; other</t>
  </si>
  <si>
    <t>Net Profit ($)</t>
  </si>
  <si>
    <t>Net Profit %</t>
  </si>
  <si>
    <t>Sales &amp; Marketing Labour</t>
  </si>
  <si>
    <t>B2B Setter</t>
  </si>
  <si>
    <t>Team Leads</t>
  </si>
  <si>
    <t>NA</t>
  </si>
  <si>
    <t>Team Lead commissions</t>
  </si>
  <si>
    <t>Fulfilment Labour</t>
  </si>
  <si>
    <t>Call Center Team (If Applicable)</t>
  </si>
  <si>
    <t>Call Center Agent 1</t>
  </si>
  <si>
    <t>Call Center Agent 2</t>
  </si>
  <si>
    <t>Call Center Commissions</t>
  </si>
  <si>
    <t>Client Success Team</t>
  </si>
  <si>
    <t>CSM 1</t>
  </si>
  <si>
    <t>CS Commissions</t>
  </si>
  <si>
    <t>Tech / Ops / Media</t>
  </si>
  <si>
    <t>VA 1 - Onboarding &amp; Tech</t>
  </si>
  <si>
    <t>Media Buyer 1</t>
  </si>
  <si>
    <t>BE Commissions</t>
  </si>
  <si>
    <t>Stripe Processing Fees (2.9%)</t>
  </si>
  <si>
    <t>SMS Fees (Irregular) - for B2C client follow up</t>
  </si>
  <si>
    <t>Slack</t>
  </si>
  <si>
    <t xml:space="preserve">Google Workspace </t>
  </si>
  <si>
    <t>Project Management Tool</t>
  </si>
  <si>
    <t xml:space="preserve">Loom </t>
  </si>
  <si>
    <t xml:space="preserve">Go High Level </t>
  </si>
  <si>
    <t xml:space="preserve">Canva </t>
  </si>
  <si>
    <t>Zapier/Make</t>
  </si>
  <si>
    <t>Zoom</t>
  </si>
  <si>
    <t>B2B Paid Ads</t>
  </si>
  <si>
    <t>Client referral payments</t>
  </si>
  <si>
    <t>$40k - $80k/mo</t>
  </si>
  <si>
    <t>20-40</t>
  </si>
  <si>
    <t xml:space="preserve">Sales Rep </t>
  </si>
  <si>
    <t>Call Center Agent 3</t>
  </si>
  <si>
    <t>Call Center Agent 4</t>
  </si>
  <si>
    <t>Operations Wizard VA</t>
  </si>
  <si>
    <t>Fathom</t>
  </si>
  <si>
    <t>SOP Library Platform (Skool)</t>
  </si>
  <si>
    <t>Hiring Ads</t>
  </si>
  <si>
    <t>$80 - $150k / mo</t>
  </si>
  <si>
    <t>40-80</t>
  </si>
  <si>
    <t>Fulfilment Manager</t>
  </si>
  <si>
    <t>Call Center Manager</t>
  </si>
  <si>
    <t>Call Center Agent 5</t>
  </si>
  <si>
    <t>Call Center Agent 6</t>
  </si>
  <si>
    <t>CSM 2</t>
  </si>
  <si>
    <t>Personal Assistant</t>
  </si>
  <si>
    <t>Project Manger</t>
  </si>
  <si>
    <t>VA 2 - Onboarding &amp; Tech</t>
  </si>
  <si>
    <t>Media Buyer 2</t>
  </si>
  <si>
    <t>Other Tools</t>
  </si>
  <si>
    <t>$150k - $250k / mo</t>
  </si>
  <si>
    <t>80 - 150</t>
  </si>
  <si>
    <t>Operations Manager</t>
  </si>
  <si>
    <t>Call Center Agent 7</t>
  </si>
  <si>
    <t>Call Center Agent 8</t>
  </si>
  <si>
    <t>Call Center Agent 9</t>
  </si>
  <si>
    <t>Call Center Agent 10</t>
  </si>
  <si>
    <t>CSM 3</t>
  </si>
  <si>
    <t>VA 3 - Onboarding &amp; Tech</t>
  </si>
  <si>
    <t>Media Buyer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</si>
</sst>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[$£-809]#,##0.00"/>
  </numFmts>
  <fonts count="14">
    <font>
      <sz val="10.0"/>
      <color rgb="FF000000"/>
      <name val="Arial"/>
      <scheme val="minor"/>
    </font>
    <font>
      <b/>
      <sz val="30.0"/>
      <color rgb="FF000000"/>
      <name val="Arial"/>
    </font>
    <font/>
    <font>
      <b/>
      <sz val="9.0"/>
      <color theme="1"/>
      <name val="Arial"/>
      <scheme val="minor"/>
    </font>
    <font>
      <b/>
      <sz val="20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8.0"/>
      <color theme="1"/>
      <name val="Arial"/>
    </font>
    <font>
      <b/>
      <sz val="8.0"/>
      <color rgb="FFFF9900"/>
      <name val="Arial"/>
    </font>
    <font>
      <b/>
      <sz val="8.0"/>
      <color rgb="FF000000"/>
      <name val="Arial"/>
    </font>
    <font>
      <sz val="8.0"/>
      <color rgb="FF000000"/>
      <name val="Arial"/>
    </font>
    <font>
      <b/>
      <sz val="8.0"/>
      <color rgb="FF00FFFF"/>
      <name val="Arial"/>
    </font>
    <font>
      <sz val="8.0"/>
      <color theme="1"/>
      <name val="Söhne"/>
    </font>
    <font>
      <b/>
      <sz val="8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3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0" fillId="3" fontId="3" numFmtId="0" xfId="0" applyAlignment="1" applyFill="1" applyFont="1">
      <alignment horizontal="left" readingOrder="0" shrinkToFit="0" vertical="center" wrapText="1"/>
    </xf>
    <xf borderId="2" fillId="4" fontId="4" numFmtId="0" xfId="0" applyAlignment="1" applyBorder="1" applyFill="1" applyFont="1">
      <alignment horizontal="center" readingOrder="0" vertical="center"/>
    </xf>
    <xf borderId="3" fillId="0" fontId="2" numFmtId="0" xfId="0" applyBorder="1" applyFont="1"/>
    <xf borderId="4" fillId="4" fontId="5" numFmtId="0" xfId="0" applyAlignment="1" applyBorder="1" applyFont="1">
      <alignment readingOrder="0" vertical="center"/>
    </xf>
    <xf borderId="4" fillId="4" fontId="6" numFmtId="164" xfId="0" applyAlignment="1" applyBorder="1" applyFont="1" applyNumberFormat="1">
      <alignment horizontal="center" readingOrder="0" vertical="center"/>
    </xf>
    <xf borderId="4" fillId="4" fontId="6" numFmtId="164" xfId="0" applyAlignment="1" applyBorder="1" applyFont="1" applyNumberFormat="1">
      <alignment horizontal="center" readingOrder="0" shrinkToFit="0" vertical="center" wrapText="1"/>
    </xf>
    <xf borderId="0" fillId="3" fontId="5" numFmtId="165" xfId="0" applyAlignment="1" applyFont="1" applyNumberFormat="1">
      <alignment horizontal="left" readingOrder="0" shrinkToFit="0" vertical="center" wrapText="1"/>
    </xf>
    <xf borderId="5" fillId="2" fontId="5" numFmtId="164" xfId="0" applyAlignment="1" applyBorder="1" applyFont="1" applyNumberFormat="1">
      <alignment horizontal="center" shrinkToFit="0" vertical="bottom" wrapText="1"/>
    </xf>
    <xf borderId="5" fillId="2" fontId="5" numFmtId="164" xfId="0" applyAlignment="1" applyBorder="1" applyFont="1" applyNumberFormat="1">
      <alignment horizontal="center" shrinkToFit="0" vertical="bottom" wrapText="1"/>
    </xf>
    <xf borderId="5" fillId="2" fontId="5" numFmtId="165" xfId="0" applyAlignment="1" applyBorder="1" applyFont="1" applyNumberFormat="1">
      <alignment horizontal="center" shrinkToFit="0" vertical="bottom" wrapText="1"/>
    </xf>
    <xf borderId="6" fillId="2" fontId="5" numFmtId="0" xfId="0" applyAlignment="1" applyBorder="1" applyFont="1">
      <alignment vertical="center"/>
    </xf>
    <xf borderId="7" fillId="5" fontId="7" numFmtId="164" xfId="0" applyAlignment="1" applyBorder="1" applyFill="1" applyFont="1" applyNumberFormat="1">
      <alignment horizontal="center" readingOrder="0" vertical="center"/>
    </xf>
    <xf borderId="8" fillId="2" fontId="2" numFmtId="0" xfId="0" applyBorder="1" applyFont="1"/>
    <xf borderId="9" fillId="3" fontId="8" numFmtId="0" xfId="0" applyAlignment="1" applyBorder="1" applyFont="1">
      <alignment readingOrder="0"/>
    </xf>
    <xf borderId="10" fillId="2" fontId="2" numFmtId="0" xfId="0" applyBorder="1" applyFont="1"/>
    <xf borderId="11" fillId="6" fontId="5" numFmtId="0" xfId="0" applyAlignment="1" applyBorder="1" applyFill="1" applyFont="1">
      <alignment readingOrder="0" vertical="center"/>
    </xf>
    <xf borderId="12" fillId="5" fontId="7" numFmtId="164" xfId="0" applyAlignment="1" applyBorder="1" applyFont="1" applyNumberFormat="1">
      <alignment horizontal="center" readingOrder="0" vertical="center"/>
    </xf>
    <xf borderId="13" fillId="6" fontId="2" numFmtId="0" xfId="0" applyBorder="1" applyFont="1"/>
    <xf borderId="0" fillId="3" fontId="5" numFmtId="10" xfId="0" applyAlignment="1" applyFont="1" applyNumberFormat="1">
      <alignment horizontal="left" readingOrder="0" shrinkToFit="0" vertical="center" wrapText="1"/>
    </xf>
    <xf borderId="14" fillId="6" fontId="7" numFmtId="0" xfId="0" applyAlignment="1" applyBorder="1" applyFont="1">
      <alignment horizontal="left" shrinkToFit="0" wrapText="1"/>
    </xf>
    <xf borderId="14" fillId="6" fontId="7" numFmtId="164" xfId="0" applyAlignment="1" applyBorder="1" applyFont="1" applyNumberFormat="1">
      <alignment horizontal="center" shrinkToFit="0" wrapText="1"/>
    </xf>
    <xf borderId="15" fillId="6" fontId="7" numFmtId="10" xfId="0" applyAlignment="1" applyBorder="1" applyFont="1" applyNumberFormat="1">
      <alignment horizontal="center" shrinkToFit="0" wrapText="1"/>
    </xf>
    <xf borderId="16" fillId="6" fontId="7" numFmtId="10" xfId="0" applyAlignment="1" applyBorder="1" applyFont="1" applyNumberFormat="1">
      <alignment horizontal="center" readingOrder="0" shrinkToFit="0" wrapText="1"/>
    </xf>
    <xf borderId="11" fillId="2" fontId="5" numFmtId="0" xfId="0" applyAlignment="1" applyBorder="1" applyFont="1">
      <alignment readingOrder="0" vertical="center"/>
    </xf>
    <xf borderId="13" fillId="2" fontId="2" numFmtId="0" xfId="0" applyBorder="1" applyFont="1"/>
    <xf borderId="9" fillId="2" fontId="7" numFmtId="10" xfId="0" applyAlignment="1" applyBorder="1" applyFont="1" applyNumberFormat="1">
      <alignment horizontal="left" shrinkToFit="0" wrapText="1"/>
    </xf>
    <xf borderId="9" fillId="2" fontId="7" numFmtId="164" xfId="0" applyAlignment="1" applyBorder="1" applyFont="1" applyNumberFormat="1">
      <alignment horizontal="center" shrinkToFit="0" wrapText="1"/>
    </xf>
    <xf borderId="0" fillId="2" fontId="7" numFmtId="10" xfId="0" applyAlignment="1" applyFont="1" applyNumberFormat="1">
      <alignment horizontal="center" shrinkToFit="0" wrapText="1"/>
    </xf>
    <xf borderId="10" fillId="2" fontId="7" numFmtId="10" xfId="0" applyAlignment="1" applyBorder="1" applyFont="1" applyNumberFormat="1">
      <alignment horizontal="center" readingOrder="0" shrinkToFit="0" wrapText="1"/>
    </xf>
    <xf borderId="11" fillId="6" fontId="9" numFmtId="0" xfId="0" applyAlignment="1" applyBorder="1" applyFont="1">
      <alignment vertical="center"/>
    </xf>
    <xf borderId="17" fillId="7" fontId="10" numFmtId="3" xfId="0" applyAlignment="1" applyBorder="1" applyFill="1" applyFont="1" applyNumberFormat="1">
      <alignment horizontal="center" readingOrder="0" vertical="center"/>
    </xf>
    <xf borderId="18" fillId="6" fontId="2" numFmtId="0" xfId="0" applyBorder="1" applyFont="1"/>
    <xf borderId="19" fillId="6" fontId="7" numFmtId="10" xfId="0" applyAlignment="1" applyBorder="1" applyFont="1" applyNumberFormat="1">
      <alignment horizontal="left" shrinkToFit="0" wrapText="1"/>
    </xf>
    <xf borderId="19" fillId="6" fontId="7" numFmtId="164" xfId="0" applyAlignment="1" applyBorder="1" applyFont="1" applyNumberFormat="1">
      <alignment horizontal="center" shrinkToFit="0" wrapText="1"/>
    </xf>
    <xf borderId="20" fillId="6" fontId="7" numFmtId="10" xfId="0" applyAlignment="1" applyBorder="1" applyFont="1" applyNumberFormat="1">
      <alignment horizontal="center" shrinkToFit="0" wrapText="1"/>
    </xf>
    <xf borderId="21" fillId="6" fontId="7" numFmtId="10" xfId="0" applyAlignment="1" applyBorder="1" applyFont="1" applyNumberFormat="1">
      <alignment horizontal="center" readingOrder="0" shrinkToFit="0" wrapText="1"/>
    </xf>
    <xf borderId="22" fillId="3" fontId="11" numFmtId="0" xfId="0" applyAlignment="1" applyBorder="1" applyFont="1">
      <alignment readingOrder="0"/>
    </xf>
    <xf borderId="23" fillId="2" fontId="2" numFmtId="0" xfId="0" applyBorder="1" applyFont="1"/>
    <xf borderId="24" fillId="2" fontId="2" numFmtId="0" xfId="0" applyBorder="1" applyFont="1"/>
    <xf borderId="14" fillId="2" fontId="5" numFmtId="0" xfId="0" applyAlignment="1" applyBorder="1" applyFont="1">
      <alignment shrinkToFit="0" wrapText="1"/>
    </xf>
    <xf borderId="15" fillId="2" fontId="2" numFmtId="0" xfId="0" applyBorder="1" applyFont="1"/>
    <xf borderId="16" fillId="2" fontId="2" numFmtId="0" xfId="0" applyBorder="1" applyFont="1"/>
    <xf borderId="11" fillId="8" fontId="5" numFmtId="0" xfId="0" applyAlignment="1" applyBorder="1" applyFill="1" applyFont="1">
      <alignment readingOrder="0" shrinkToFit="0" vertical="center" wrapText="1"/>
    </xf>
    <xf borderId="11" fillId="8" fontId="10" numFmtId="164" xfId="0" applyAlignment="1" applyBorder="1" applyFont="1" applyNumberFormat="1">
      <alignment horizontal="center" readingOrder="0" shrinkToFit="0" vertical="center" wrapText="1"/>
    </xf>
    <xf borderId="25" fillId="6" fontId="2" numFmtId="0" xfId="0" applyBorder="1" applyFont="1"/>
    <xf borderId="0" fillId="3" fontId="5" numFmtId="10" xfId="0" applyAlignment="1" applyFont="1" applyNumberFormat="1">
      <alignment horizontal="left" shrinkToFit="0" vertical="center" wrapText="1"/>
    </xf>
    <xf borderId="9" fillId="6" fontId="2" numFmtId="0" xfId="0" applyBorder="1" applyFont="1"/>
    <xf borderId="10" fillId="6" fontId="2" numFmtId="0" xfId="0" applyBorder="1" applyFont="1"/>
    <xf borderId="26" fillId="8" fontId="5" numFmtId="0" xfId="0" applyAlignment="1" applyBorder="1" applyFont="1">
      <alignment readingOrder="0" shrinkToFit="0" vertical="center" wrapText="1"/>
    </xf>
    <xf borderId="25" fillId="2" fontId="2" numFmtId="0" xfId="0" applyBorder="1" applyFont="1"/>
    <xf borderId="9" fillId="2" fontId="2" numFmtId="0" xfId="0" applyBorder="1" applyFont="1"/>
    <xf borderId="27" fillId="8" fontId="5" numFmtId="0" xfId="0" applyAlignment="1" applyBorder="1" applyFont="1">
      <alignment readingOrder="0" shrinkToFit="0" wrapText="1"/>
    </xf>
    <xf borderId="23" fillId="8" fontId="7" numFmtId="164" xfId="0" applyAlignment="1" applyBorder="1" applyFont="1" applyNumberFormat="1">
      <alignment horizontal="center" readingOrder="0" shrinkToFit="0" vertical="center" wrapText="1"/>
    </xf>
    <xf borderId="5" fillId="8" fontId="5" numFmtId="0" xfId="0" applyAlignment="1" applyBorder="1" applyFont="1">
      <alignment readingOrder="0" shrinkToFit="0" wrapText="1"/>
    </xf>
    <xf borderId="28" fillId="8" fontId="7" numFmtId="10" xfId="0" applyAlignment="1" applyBorder="1" applyFont="1" applyNumberFormat="1">
      <alignment horizontal="center" readingOrder="0" shrinkToFit="0" vertical="center" wrapText="1"/>
    </xf>
    <xf borderId="29" fillId="2" fontId="2" numFmtId="0" xfId="0" applyBorder="1" applyFont="1"/>
    <xf borderId="9" fillId="3" fontId="11" numFmtId="0" xfId="0" applyAlignment="1" applyBorder="1" applyFont="1">
      <alignment readingOrder="0" vertical="center"/>
    </xf>
    <xf borderId="27" fillId="3" fontId="12" numFmtId="164" xfId="0" applyAlignment="1" applyBorder="1" applyFont="1" applyNumberFormat="1">
      <alignment readingOrder="0" vertical="center"/>
    </xf>
    <xf borderId="11" fillId="2" fontId="7" numFmtId="0" xfId="0" applyAlignment="1" applyBorder="1" applyFont="1">
      <alignment readingOrder="0"/>
    </xf>
    <xf borderId="30" fillId="2" fontId="7" numFmtId="164" xfId="0" applyAlignment="1" applyBorder="1" applyFont="1" applyNumberFormat="1">
      <alignment horizontal="center" readingOrder="0"/>
    </xf>
    <xf borderId="27" fillId="2" fontId="7" numFmtId="164" xfId="0" applyAlignment="1" applyBorder="1" applyFont="1" applyNumberFormat="1">
      <alignment horizontal="center" readingOrder="0" vertical="center"/>
    </xf>
    <xf borderId="26" fillId="3" fontId="11" numFmtId="0" xfId="0" applyAlignment="1" applyBorder="1" applyFont="1">
      <alignment readingOrder="0" vertical="center"/>
    </xf>
    <xf borderId="31" fillId="6" fontId="2" numFmtId="0" xfId="0" applyBorder="1" applyFont="1"/>
    <xf borderId="0" fillId="3" fontId="13" numFmtId="164" xfId="0" applyAlignment="1" applyFont="1" applyNumberFormat="1">
      <alignment horizontal="left" readingOrder="0" shrinkToFit="0" vertical="center" wrapText="1"/>
    </xf>
    <xf borderId="11" fillId="2" fontId="7" numFmtId="0" xfId="0" applyAlignment="1" applyBorder="1" applyFont="1">
      <alignment readingOrder="0"/>
    </xf>
    <xf borderId="0" fillId="3" fontId="13" numFmtId="0" xfId="0" applyAlignment="1" applyFont="1">
      <alignment horizontal="left" readingOrder="0" shrinkToFit="0" vertical="center" wrapText="1"/>
    </xf>
    <xf borderId="11" fillId="6" fontId="7" numFmtId="0" xfId="0" applyAlignment="1" applyBorder="1" applyFont="1">
      <alignment readingOrder="0"/>
    </xf>
    <xf borderId="32" fillId="6" fontId="7" numFmtId="164" xfId="0" applyAlignment="1" applyBorder="1" applyFont="1" applyNumberFormat="1">
      <alignment horizontal="center" readingOrder="0" vertical="bottom"/>
    </xf>
    <xf borderId="27" fillId="6" fontId="7" numFmtId="164" xfId="0" applyAlignment="1" applyBorder="1" applyFont="1" applyNumberFormat="1">
      <alignment horizontal="center" readingOrder="0" vertical="center"/>
    </xf>
    <xf borderId="0" fillId="3" fontId="13" numFmtId="10" xfId="0" applyAlignment="1" applyFont="1" applyNumberFormat="1">
      <alignment horizontal="left" readingOrder="0" shrinkToFit="0" vertical="center" wrapText="1"/>
    </xf>
    <xf borderId="9" fillId="9" fontId="5" numFmtId="0" xfId="0" applyAlignment="1" applyBorder="1" applyFill="1" applyFont="1">
      <alignment readingOrder="0" vertical="bottom"/>
    </xf>
    <xf borderId="27" fillId="9" fontId="7" numFmtId="164" xfId="0" applyAlignment="1" applyBorder="1" applyFont="1" applyNumberFormat="1">
      <alignment horizontal="center" readingOrder="0" vertical="bottom"/>
    </xf>
    <xf borderId="27" fillId="9" fontId="7" numFmtId="164" xfId="0" applyAlignment="1" applyBorder="1" applyFont="1" applyNumberFormat="1">
      <alignment horizontal="center" readingOrder="0" vertical="center"/>
    </xf>
    <xf borderId="33" fillId="3" fontId="12" numFmtId="164" xfId="0" applyAlignment="1" applyBorder="1" applyFont="1" applyNumberFormat="1">
      <alignment readingOrder="0" vertical="center"/>
    </xf>
    <xf borderId="1" fillId="4" fontId="5" numFmtId="0" xfId="0" applyAlignment="1" applyBorder="1" applyFont="1">
      <alignment readingOrder="0" vertical="center"/>
    </xf>
    <xf borderId="2" fillId="2" fontId="2" numFmtId="0" xfId="0" applyBorder="1" applyFont="1"/>
    <xf borderId="3" fillId="2" fontId="2" numFmtId="0" xfId="0" applyBorder="1" applyFont="1"/>
    <xf borderId="34" fillId="6" fontId="7" numFmtId="0" xfId="0" applyAlignment="1" applyBorder="1" applyFont="1">
      <alignment readingOrder="0" vertical="center"/>
    </xf>
    <xf borderId="32" fillId="6" fontId="7" numFmtId="164" xfId="0" applyAlignment="1" applyBorder="1" applyFont="1" applyNumberFormat="1">
      <alignment horizontal="center" readingOrder="0" vertical="center"/>
    </xf>
    <xf borderId="34" fillId="2" fontId="7" numFmtId="0" xfId="0" applyAlignment="1" applyBorder="1" applyFont="1">
      <alignment readingOrder="0" vertical="center"/>
    </xf>
    <xf borderId="26" fillId="9" fontId="5" numFmtId="0" xfId="0" applyAlignment="1" applyBorder="1" applyFont="1">
      <alignment readingOrder="0" vertical="center"/>
    </xf>
    <xf borderId="34" fillId="6" fontId="7" numFmtId="0" xfId="0" applyAlignment="1" applyBorder="1" applyFont="1">
      <alignment readingOrder="0" vertical="center"/>
    </xf>
    <xf borderId="9" fillId="9" fontId="5" numFmtId="0" xfId="0" applyAlignment="1" applyBorder="1" applyFont="1">
      <alignment readingOrder="0" vertical="center"/>
    </xf>
    <xf borderId="27" fillId="9" fontId="5" numFmtId="164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readingOrder="0"/>
    </xf>
    <xf borderId="2" fillId="6" fontId="2" numFmtId="0" xfId="0" applyBorder="1" applyFont="1"/>
    <xf borderId="3" fillId="6" fontId="2" numFmtId="0" xfId="0" applyBorder="1" applyFont="1"/>
    <xf borderId="32" fillId="2" fontId="7" numFmtId="164" xfId="0" applyAlignment="1" applyBorder="1" applyFont="1" applyNumberFormat="1">
      <alignment horizontal="center" readingOrder="0" vertical="center"/>
    </xf>
    <xf borderId="26" fillId="6" fontId="7" numFmtId="0" xfId="0" applyAlignment="1" applyBorder="1" applyFont="1">
      <alignment readingOrder="0" vertical="center"/>
    </xf>
    <xf borderId="33" fillId="6" fontId="7" numFmtId="164" xfId="0" applyAlignment="1" applyBorder="1" applyFont="1" applyNumberFormat="1">
      <alignment horizontal="center" readingOrder="0" vertical="center"/>
    </xf>
    <xf borderId="0" fillId="3" fontId="7" numFmtId="0" xfId="0" applyAlignment="1" applyFont="1">
      <alignment horizontal="left" shrinkToFit="0" vertical="center" wrapText="1"/>
    </xf>
    <xf borderId="26" fillId="9" fontId="5" numFmtId="0" xfId="0" applyAlignment="1" applyBorder="1" applyFont="1">
      <alignment readingOrder="0"/>
    </xf>
    <xf borderId="33" fillId="9" fontId="7" numFmtId="164" xfId="0" applyAlignment="1" applyBorder="1" applyFont="1" applyNumberFormat="1">
      <alignment horizontal="center" readingOrder="0"/>
    </xf>
    <xf borderId="11" fillId="3" fontId="11" numFmtId="0" xfId="0" applyAlignment="1" applyBorder="1" applyFont="1">
      <alignment readingOrder="0" vertical="center"/>
    </xf>
    <xf borderId="23" fillId="6" fontId="2" numFmtId="0" xfId="0" applyBorder="1" applyFont="1"/>
    <xf borderId="11" fillId="2" fontId="7" numFmtId="165" xfId="0" applyAlignment="1" applyBorder="1" applyFont="1" applyNumberFormat="1">
      <alignment readingOrder="0"/>
    </xf>
    <xf borderId="30" fillId="2" fontId="7" numFmtId="164" xfId="0" applyAlignment="1" applyBorder="1" applyFont="1" applyNumberFormat="1">
      <alignment horizontal="center"/>
    </xf>
    <xf borderId="11" fillId="6" fontId="7" numFmtId="165" xfId="0" applyAlignment="1" applyBorder="1" applyFont="1" applyNumberFormat="1">
      <alignment horizontal="left" readingOrder="0" vertical="center"/>
    </xf>
    <xf borderId="30" fillId="6" fontId="7" numFmtId="164" xfId="0" applyAlignment="1" applyBorder="1" applyFont="1" applyNumberFormat="1">
      <alignment horizontal="center" readingOrder="0" vertical="center"/>
    </xf>
    <xf borderId="27" fillId="6" fontId="7" numFmtId="164" xfId="0" applyAlignment="1" applyBorder="1" applyFont="1" applyNumberFormat="1">
      <alignment horizontal="center" vertical="center"/>
    </xf>
    <xf borderId="11" fillId="2" fontId="10" numFmtId="0" xfId="0" applyAlignment="1" applyBorder="1" applyFont="1">
      <alignment readingOrder="0" vertical="center"/>
    </xf>
    <xf borderId="30" fillId="2" fontId="7" numFmtId="164" xfId="0" applyAlignment="1" applyBorder="1" applyFont="1" applyNumberFormat="1">
      <alignment horizontal="center" readingOrder="0" vertical="center"/>
    </xf>
    <xf borderId="11" fillId="2" fontId="7" numFmtId="165" xfId="0" applyAlignment="1" applyBorder="1" applyFont="1" applyNumberFormat="1">
      <alignment horizontal="left" readingOrder="0" vertical="center"/>
    </xf>
    <xf borderId="11" fillId="2" fontId="7" numFmtId="0" xfId="0" applyAlignment="1" applyBorder="1" applyFont="1">
      <alignment readingOrder="0" vertical="center"/>
    </xf>
    <xf borderId="11" fillId="6" fontId="7" numFmtId="0" xfId="0" applyAlignment="1" applyBorder="1" applyFont="1">
      <alignment readingOrder="0" vertical="center"/>
    </xf>
    <xf borderId="27" fillId="2" fontId="7" numFmtId="164" xfId="0" applyAlignment="1" applyBorder="1" applyFont="1" applyNumberFormat="1">
      <alignment horizontal="center" vertical="center"/>
    </xf>
    <xf borderId="11" fillId="6" fontId="7" numFmtId="0" xfId="0" applyAlignment="1" applyBorder="1" applyFont="1">
      <alignment vertical="center"/>
    </xf>
    <xf borderId="27" fillId="6" fontId="7" numFmtId="164" xfId="0" applyAlignment="1" applyBorder="1" applyFont="1" applyNumberFormat="1">
      <alignment horizontal="center"/>
    </xf>
    <xf borderId="19" fillId="2" fontId="2" numFmtId="0" xfId="0" applyBorder="1" applyFont="1"/>
    <xf borderId="20" fillId="2" fontId="2" numFmtId="0" xfId="0" applyBorder="1" applyFont="1"/>
    <xf borderId="21" fillId="2" fontId="2" numFmtId="0" xfId="0" applyBorder="1" applyFont="1"/>
    <xf borderId="26" fillId="6" fontId="7" numFmtId="0" xfId="0" applyAlignment="1" applyBorder="1" applyFont="1">
      <alignment readingOrder="0"/>
    </xf>
    <xf borderId="26" fillId="6" fontId="7" numFmtId="164" xfId="0" applyAlignment="1" applyBorder="1" applyFont="1" applyNumberFormat="1">
      <alignment horizontal="center" readingOrder="0"/>
    </xf>
    <xf borderId="31" fillId="2" fontId="2" numFmtId="0" xfId="0" applyBorder="1" applyFont="1"/>
    <xf borderId="30" fillId="6" fontId="7" numFmtId="164" xfId="0" applyAlignment="1" applyBorder="1" applyFont="1" applyNumberFormat="1">
      <alignment horizontal="center" readingOrder="0"/>
    </xf>
    <xf borderId="32" fillId="2" fontId="7" numFmtId="164" xfId="0" applyAlignment="1" applyBorder="1" applyFont="1" applyNumberFormat="1">
      <alignment horizontal="center" readingOrder="0" vertical="bottom"/>
    </xf>
    <xf borderId="34" fillId="2" fontId="7" numFmtId="0" xfId="0" applyAlignment="1" applyBorder="1" applyFont="1">
      <alignment readingOrder="0" vertical="center"/>
    </xf>
    <xf borderId="11" fillId="2" fontId="7" numFmtId="0" xfId="0" applyAlignment="1" applyBorder="1" applyFont="1">
      <alignment vertical="center"/>
    </xf>
    <xf borderId="27" fillId="2" fontId="7" numFmtId="164" xfId="0" applyAlignment="1" applyBorder="1" applyFont="1" applyNumberFormat="1">
      <alignment horizontal="center"/>
    </xf>
    <xf borderId="19" fillId="6" fontId="2" numFmtId="0" xfId="0" applyBorder="1" applyFont="1"/>
    <xf borderId="20" fillId="6" fontId="2" numFmtId="0" xfId="0" applyBorder="1" applyFont="1"/>
    <xf borderId="21" fillId="6" fontId="2" numFmtId="0" xfId="0" applyBorder="1" applyFont="1"/>
    <xf borderId="9" fillId="6" fontId="7" numFmtId="0" xfId="0" applyAlignment="1" applyBorder="1" applyFont="1">
      <alignment readingOrder="0" vertical="center"/>
    </xf>
    <xf borderId="9" fillId="2" fontId="7" numFmtId="0" xfId="0" applyAlignment="1" applyBorder="1" applyFont="1">
      <alignment readingOrder="0" vertical="center"/>
    </xf>
    <xf borderId="26" fillId="2" fontId="7" numFmtId="0" xfId="0" applyAlignment="1" applyBorder="1" applyFont="1">
      <alignment readingOrder="0" vertical="center"/>
    </xf>
    <xf borderId="33" fillId="2" fontId="7" numFmtId="164" xfId="0" applyAlignment="1" applyBorder="1" applyFont="1" applyNumberFormat="1">
      <alignment horizontal="center" readingOrder="0" vertical="center"/>
    </xf>
    <xf borderId="11" fillId="6" fontId="7" numFmtId="165" xfId="0" applyAlignment="1" applyBorder="1" applyFont="1" applyNumberFormat="1">
      <alignment readingOrder="0"/>
    </xf>
    <xf borderId="30" fillId="6" fontId="7" numFmtId="164" xfId="0" applyAlignment="1" applyBorder="1" applyFont="1" applyNumberFormat="1">
      <alignment horizontal="center"/>
    </xf>
    <xf borderId="11" fillId="6" fontId="10" numFmtId="0" xfId="0" applyAlignment="1" applyBorder="1" applyFont="1">
      <alignment readingOrder="0" vertical="center"/>
    </xf>
    <xf borderId="9" fillId="2" fontId="7" numFmtId="0" xfId="0" applyAlignment="1" applyBorder="1" applyFont="1">
      <alignment readingOrder="0"/>
    </xf>
    <xf borderId="27" fillId="2" fontId="7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$20k - $40k  month-style">
      <tableStyleElement dxfId="1" type="firstRowStripe"/>
      <tableStyleElement dxfId="2" type="secondRowStripe"/>
    </tableStyle>
    <tableStyle count="2" pivot="0" name="$40k - $80k  month-style">
      <tableStyleElement dxfId="1" type="firstRowStripe"/>
      <tableStyleElement dxfId="2" type="secondRowStripe"/>
    </tableStyle>
    <tableStyle count="2" pivot="0" name="$80k - $150k  month-style">
      <tableStyleElement dxfId="1" type="firstRowStripe"/>
      <tableStyleElement dxfId="2" type="secondRowStripe"/>
    </tableStyle>
    <tableStyle count="2" pivot="0" name="$150k  $250k  month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2:H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$20k - $40k  month-style" showColumnStripes="0" showFirstColumn="1" showLastColumn="1" showRowStripes="1"/>
</table>
</file>

<file path=xl/tables/table2.xml><?xml version="1.0" encoding="utf-8"?>
<table xmlns="http://schemas.openxmlformats.org/spreadsheetml/2006/main" headerRowCount="0" ref="E2:H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$40k - $80k  month-style" showColumnStripes="0" showFirstColumn="1" showLastColumn="1" showRowStripes="1"/>
</table>
</file>

<file path=xl/tables/table3.xml><?xml version="1.0" encoding="utf-8"?>
<table xmlns="http://schemas.openxmlformats.org/spreadsheetml/2006/main" headerRowCount="0" ref="E2:H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$80k - $150k  month-style" showColumnStripes="0" showFirstColumn="1" showLastColumn="1" showRowStripes="1"/>
</table>
</file>

<file path=xl/tables/table4.xml><?xml version="1.0" encoding="utf-8"?>
<table xmlns="http://schemas.openxmlformats.org/spreadsheetml/2006/main" headerRowCount="0" ref="E2:H2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$150k  $250k  mont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75"/>
    <col customWidth="1" min="2" max="3" width="8.25"/>
    <col customWidth="1" min="4" max="4" width="3.0"/>
    <col customWidth="1" min="5" max="5" width="20.25"/>
    <col customWidth="1" min="6" max="6" width="9.25"/>
    <col customWidth="1" min="7" max="7" width="7.5"/>
    <col customWidth="1" min="8" max="8" width="8.13"/>
  </cols>
  <sheetData>
    <row r="1" ht="60.75" customHeight="1">
      <c r="A1" s="1" t="s">
        <v>0</v>
      </c>
      <c r="B1" s="2"/>
      <c r="C1" s="2"/>
      <c r="D1" s="3"/>
      <c r="E1" s="4" t="s">
        <v>1</v>
      </c>
      <c r="F1" s="2"/>
      <c r="G1" s="2"/>
      <c r="H1" s="5"/>
    </row>
    <row r="2" ht="15.0" customHeight="1">
      <c r="A2" s="6" t="s">
        <v>2</v>
      </c>
      <c r="B2" s="7" t="s">
        <v>3</v>
      </c>
      <c r="C2" s="8" t="s">
        <v>4</v>
      </c>
      <c r="D2" s="9"/>
      <c r="E2" s="10" t="s">
        <v>5</v>
      </c>
      <c r="F2" s="11" t="s">
        <v>6</v>
      </c>
      <c r="G2" s="12" t="s">
        <v>7</v>
      </c>
      <c r="H2" s="12" t="s">
        <v>8</v>
      </c>
    </row>
    <row r="3" ht="15.0" customHeight="1">
      <c r="A3" s="13" t="s">
        <v>9</v>
      </c>
      <c r="B3" s="14">
        <v>15000.0</v>
      </c>
      <c r="C3" s="15"/>
      <c r="D3" s="9"/>
      <c r="E3" s="16" t="s">
        <v>10</v>
      </c>
      <c r="H3" s="17"/>
    </row>
    <row r="4" ht="15.0" customHeight="1">
      <c r="A4" s="18" t="s">
        <v>11</v>
      </c>
      <c r="B4" s="19">
        <v>20000.0</v>
      </c>
      <c r="C4" s="20"/>
      <c r="D4" s="21"/>
      <c r="E4" s="22" t="s">
        <v>12</v>
      </c>
      <c r="F4" s="23">
        <f>SUM(B31:B39)</f>
        <v>2664</v>
      </c>
      <c r="G4" s="24">
        <f t="shared" ref="G4:G5" si="1">SUM(F4/B9)</f>
        <v>0.07611428571</v>
      </c>
      <c r="H4" s="25">
        <v>0.1</v>
      </c>
    </row>
    <row r="5" ht="15.0" customHeight="1">
      <c r="A5" s="26" t="s">
        <v>13</v>
      </c>
      <c r="B5" s="19">
        <v>0.0</v>
      </c>
      <c r="C5" s="27"/>
      <c r="D5" s="21"/>
      <c r="E5" s="28" t="s">
        <v>14</v>
      </c>
      <c r="F5" s="29">
        <f>SUM(B15:B17,B20:B22,B24:B25,B27:B29)</f>
        <v>6100</v>
      </c>
      <c r="G5" s="30">
        <f t="shared" si="1"/>
        <v>0.2957002278</v>
      </c>
      <c r="H5" s="31">
        <v>0.25</v>
      </c>
    </row>
    <row r="6" ht="15.0" customHeight="1">
      <c r="A6" s="32" t="s">
        <v>15</v>
      </c>
      <c r="B6" s="33" t="s">
        <v>16</v>
      </c>
      <c r="C6" s="34"/>
      <c r="D6" s="21"/>
      <c r="E6" s="35" t="s">
        <v>17</v>
      </c>
      <c r="F6" s="36">
        <f>SUM(B42:B43)</f>
        <v>3000</v>
      </c>
      <c r="G6" s="37">
        <f>SUM(F6/B9)</f>
        <v>0.08571428571</v>
      </c>
      <c r="H6" s="38">
        <v>0.25</v>
      </c>
    </row>
    <row r="7" ht="15.0" customHeight="1">
      <c r="A7" s="39" t="s">
        <v>18</v>
      </c>
      <c r="B7" s="40"/>
      <c r="C7" s="41"/>
      <c r="D7" s="21"/>
      <c r="E7" s="42"/>
      <c r="F7" s="43"/>
      <c r="G7" s="43"/>
      <c r="H7" s="44"/>
    </row>
    <row r="8" ht="15.0" customHeight="1">
      <c r="A8" s="45" t="s">
        <v>19</v>
      </c>
      <c r="B8" s="46">
        <f>SUM(B12:B43)</f>
        <v>14371</v>
      </c>
      <c r="C8" s="47"/>
      <c r="D8" s="48"/>
      <c r="E8" s="49"/>
      <c r="H8" s="50"/>
    </row>
    <row r="9" ht="15.0" customHeight="1">
      <c r="A9" s="51" t="s">
        <v>20</v>
      </c>
      <c r="B9" s="46">
        <f>SUM(B3:C5)</f>
        <v>35000</v>
      </c>
      <c r="C9" s="52"/>
      <c r="D9" s="48"/>
      <c r="E9" s="53"/>
      <c r="H9" s="17"/>
    </row>
    <row r="10" ht="15.0" customHeight="1">
      <c r="A10" s="54" t="s">
        <v>21</v>
      </c>
      <c r="B10" s="55">
        <f>SUM(B9-B8)</f>
        <v>20629</v>
      </c>
      <c r="C10" s="47"/>
      <c r="D10" s="48"/>
      <c r="E10" s="49"/>
      <c r="H10" s="50"/>
    </row>
    <row r="11" ht="15.0" customHeight="1">
      <c r="A11" s="56" t="s">
        <v>22</v>
      </c>
      <c r="B11" s="57">
        <f>IFERROR(B10/B9, "-")
</f>
        <v>0.5894</v>
      </c>
      <c r="C11" s="58"/>
      <c r="D11" s="48"/>
      <c r="E11" s="53"/>
      <c r="H11" s="17"/>
    </row>
    <row r="12" ht="15.0" customHeight="1">
      <c r="A12" s="59" t="s">
        <v>23</v>
      </c>
      <c r="B12" s="60">
        <v>7.0</v>
      </c>
      <c r="C12" s="60">
        <v>7.0</v>
      </c>
      <c r="D12" s="48"/>
      <c r="E12" s="49"/>
      <c r="H12" s="50"/>
    </row>
    <row r="13" ht="15.0" customHeight="1">
      <c r="A13" s="61" t="s">
        <v>24</v>
      </c>
      <c r="B13" s="62">
        <v>2500.0</v>
      </c>
      <c r="C13" s="63"/>
      <c r="D13" s="48"/>
      <c r="E13" s="53"/>
      <c r="H13" s="17"/>
    </row>
    <row r="14" ht="15.0" customHeight="1">
      <c r="A14" s="64" t="s">
        <v>25</v>
      </c>
      <c r="B14" s="65"/>
      <c r="C14" s="60">
        <v>7.0</v>
      </c>
      <c r="D14" s="66"/>
      <c r="E14" s="49"/>
      <c r="H14" s="50"/>
    </row>
    <row r="15" ht="15.0" customHeight="1">
      <c r="A15" s="67" t="s">
        <v>26</v>
      </c>
      <c r="B15" s="62">
        <v>0.0</v>
      </c>
      <c r="C15" s="63"/>
      <c r="D15" s="68"/>
      <c r="E15" s="53"/>
      <c r="H15" s="17"/>
    </row>
    <row r="16" ht="15.0" customHeight="1">
      <c r="A16" s="69" t="s">
        <v>26</v>
      </c>
      <c r="B16" s="70">
        <v>0.0</v>
      </c>
      <c r="C16" s="71"/>
      <c r="D16" s="72"/>
      <c r="E16" s="49"/>
      <c r="H16" s="50"/>
    </row>
    <row r="17" ht="15.0" customHeight="1">
      <c r="A17" s="73" t="s">
        <v>27</v>
      </c>
      <c r="B17" s="74">
        <v>0.0</v>
      </c>
      <c r="C17" s="75"/>
      <c r="D17" s="72"/>
      <c r="E17" s="53"/>
      <c r="H17" s="17"/>
    </row>
    <row r="18" ht="15.0" customHeight="1">
      <c r="A18" s="64" t="s">
        <v>28</v>
      </c>
      <c r="B18" s="76"/>
      <c r="C18" s="60">
        <v>7.0</v>
      </c>
      <c r="D18" s="68"/>
      <c r="E18" s="49"/>
      <c r="H18" s="50"/>
    </row>
    <row r="19" ht="15.0" customHeight="1">
      <c r="A19" s="77" t="s">
        <v>29</v>
      </c>
      <c r="B19" s="78"/>
      <c r="C19" s="79"/>
      <c r="D19" s="68"/>
      <c r="E19" s="53"/>
      <c r="H19" s="17"/>
    </row>
    <row r="20" ht="15.0" customHeight="1">
      <c r="A20" s="80" t="s">
        <v>30</v>
      </c>
      <c r="B20" s="81">
        <v>0.0</v>
      </c>
      <c r="C20" s="71"/>
      <c r="D20" s="68"/>
      <c r="E20" s="49"/>
      <c r="H20" s="50"/>
    </row>
    <row r="21" ht="15.0" customHeight="1">
      <c r="A21" s="82" t="s">
        <v>31</v>
      </c>
      <c r="B21" s="62">
        <v>0.0</v>
      </c>
      <c r="C21" s="63"/>
      <c r="D21" s="68"/>
      <c r="E21" s="53"/>
      <c r="H21" s="17"/>
    </row>
    <row r="22" ht="15.0" customHeight="1">
      <c r="A22" s="83" t="s">
        <v>32</v>
      </c>
      <c r="B22" s="75">
        <v>0.0</v>
      </c>
      <c r="C22" s="75"/>
      <c r="D22" s="68"/>
      <c r="E22" s="49"/>
      <c r="H22" s="50"/>
    </row>
    <row r="23">
      <c r="A23" s="77" t="s">
        <v>33</v>
      </c>
      <c r="B23" s="78"/>
      <c r="C23" s="79"/>
      <c r="D23" s="68"/>
      <c r="E23" s="53"/>
      <c r="H23" s="17"/>
    </row>
    <row r="24" ht="15.0" customHeight="1">
      <c r="A24" s="84" t="s">
        <v>34</v>
      </c>
      <c r="B24" s="81">
        <v>4000.0</v>
      </c>
      <c r="C24" s="71"/>
      <c r="D24" s="68"/>
      <c r="E24" s="49"/>
      <c r="H24" s="50"/>
    </row>
    <row r="25" ht="15.0" customHeight="1">
      <c r="A25" s="85" t="s">
        <v>35</v>
      </c>
      <c r="B25" s="86">
        <v>0.0</v>
      </c>
      <c r="C25" s="75"/>
      <c r="D25" s="68"/>
      <c r="E25" s="53"/>
      <c r="H25" s="17"/>
    </row>
    <row r="26" ht="15.0" customHeight="1">
      <c r="A26" s="87" t="s">
        <v>36</v>
      </c>
      <c r="B26" s="88"/>
      <c r="C26" s="89"/>
      <c r="D26" s="68"/>
      <c r="E26" s="49"/>
      <c r="H26" s="50"/>
    </row>
    <row r="27" ht="15.0" customHeight="1">
      <c r="A27" s="82" t="s">
        <v>37</v>
      </c>
      <c r="B27" s="90">
        <v>800.0</v>
      </c>
      <c r="C27" s="63"/>
      <c r="D27" s="68"/>
      <c r="E27" s="53"/>
      <c r="H27" s="17"/>
    </row>
    <row r="28" ht="15.0" customHeight="1">
      <c r="A28" s="91" t="s">
        <v>38</v>
      </c>
      <c r="B28" s="92">
        <v>800.0</v>
      </c>
      <c r="C28" s="71"/>
      <c r="D28" s="93"/>
      <c r="E28" s="49"/>
      <c r="H28" s="50"/>
    </row>
    <row r="29" ht="15.0" customHeight="1">
      <c r="A29" s="94" t="s">
        <v>39</v>
      </c>
      <c r="B29" s="95">
        <v>500.0</v>
      </c>
      <c r="C29" s="75"/>
      <c r="D29" s="68"/>
      <c r="E29" s="53"/>
      <c r="H29" s="17"/>
    </row>
    <row r="30" ht="15.0" customHeight="1">
      <c r="A30" s="96" t="s">
        <v>12</v>
      </c>
      <c r="B30" s="97"/>
      <c r="C30" s="47"/>
      <c r="D30" s="68"/>
      <c r="E30" s="49"/>
      <c r="H30" s="50"/>
    </row>
    <row r="31" ht="15.0" customHeight="1">
      <c r="A31" s="98" t="s">
        <v>40</v>
      </c>
      <c r="B31" s="99">
        <f>(B3+B4+B5)*2.9%
</f>
        <v>1015</v>
      </c>
      <c r="C31" s="63"/>
      <c r="D31" s="68"/>
      <c r="E31" s="53"/>
      <c r="H31" s="17"/>
    </row>
    <row r="32" ht="15.0" customHeight="1">
      <c r="A32" s="100" t="s">
        <v>41</v>
      </c>
      <c r="B32" s="101">
        <v>1000.0</v>
      </c>
      <c r="C32" s="102"/>
      <c r="D32" s="68"/>
      <c r="E32" s="49"/>
      <c r="H32" s="50"/>
    </row>
    <row r="33" ht="15.0" customHeight="1">
      <c r="A33" s="103" t="s">
        <v>42</v>
      </c>
      <c r="B33" s="104">
        <v>50.0</v>
      </c>
      <c r="C33" s="63"/>
      <c r="D33" s="68"/>
      <c r="E33" s="53"/>
      <c r="H33" s="17"/>
    </row>
    <row r="34" ht="15.0" customHeight="1">
      <c r="A34" s="100" t="s">
        <v>43</v>
      </c>
      <c r="B34" s="101">
        <v>40.0</v>
      </c>
      <c r="C34" s="71"/>
      <c r="D34" s="68"/>
      <c r="E34" s="49"/>
      <c r="H34" s="50"/>
    </row>
    <row r="35" ht="15.0" customHeight="1">
      <c r="A35" s="105" t="s">
        <v>44</v>
      </c>
      <c r="B35" s="104">
        <v>200.0</v>
      </c>
      <c r="C35" s="63"/>
      <c r="D35" s="68"/>
      <c r="E35" s="53"/>
      <c r="H35" s="17"/>
    </row>
    <row r="36" ht="15.0" customHeight="1">
      <c r="A36" s="100" t="s">
        <v>45</v>
      </c>
      <c r="B36" s="101">
        <v>20.0</v>
      </c>
      <c r="C36" s="71"/>
      <c r="D36" s="68"/>
      <c r="E36" s="49"/>
      <c r="H36" s="50"/>
    </row>
    <row r="37" ht="15.0" customHeight="1">
      <c r="A37" s="106" t="s">
        <v>46</v>
      </c>
      <c r="B37" s="104">
        <v>299.0</v>
      </c>
      <c r="C37" s="63"/>
      <c r="D37" s="68"/>
      <c r="E37" s="53"/>
      <c r="H37" s="17"/>
    </row>
    <row r="38" ht="15.0" customHeight="1">
      <c r="A38" s="107" t="s">
        <v>47</v>
      </c>
      <c r="B38" s="101">
        <v>20.0</v>
      </c>
      <c r="C38" s="102"/>
      <c r="D38" s="68"/>
      <c r="E38" s="49"/>
      <c r="H38" s="50"/>
    </row>
    <row r="39" ht="15.0" customHeight="1">
      <c r="A39" s="106" t="s">
        <v>48</v>
      </c>
      <c r="B39" s="104">
        <v>20.0</v>
      </c>
      <c r="C39" s="108"/>
      <c r="D39" s="68"/>
      <c r="E39" s="53"/>
      <c r="H39" s="17"/>
    </row>
    <row r="40" ht="15.0" customHeight="1">
      <c r="A40" s="107" t="s">
        <v>49</v>
      </c>
      <c r="B40" s="101">
        <v>100.0</v>
      </c>
      <c r="C40" s="102"/>
      <c r="D40" s="68"/>
      <c r="E40" s="49"/>
      <c r="H40" s="50"/>
    </row>
    <row r="41" ht="15.0" customHeight="1">
      <c r="A41" s="96" t="s">
        <v>17</v>
      </c>
      <c r="B41" s="40"/>
      <c r="C41" s="52"/>
      <c r="D41" s="68"/>
      <c r="E41" s="53"/>
      <c r="H41" s="17"/>
    </row>
    <row r="42" ht="15.0" customHeight="1">
      <c r="A42" s="109" t="s">
        <v>50</v>
      </c>
      <c r="B42" s="101">
        <v>3000.0</v>
      </c>
      <c r="C42" s="110"/>
      <c r="D42" s="68"/>
      <c r="E42" s="49"/>
      <c r="H42" s="50"/>
    </row>
    <row r="43" ht="15.0" customHeight="1">
      <c r="A43" s="106" t="s">
        <v>51</v>
      </c>
      <c r="B43" s="104">
        <v>0.0</v>
      </c>
      <c r="C43" s="63"/>
      <c r="D43" s="68"/>
      <c r="E43" s="111"/>
      <c r="F43" s="112"/>
      <c r="G43" s="112"/>
      <c r="H43" s="113"/>
    </row>
  </sheetData>
  <mergeCells count="19">
    <mergeCell ref="E3:H3"/>
    <mergeCell ref="E7:H43"/>
    <mergeCell ref="A1:C1"/>
    <mergeCell ref="E1:H1"/>
    <mergeCell ref="B3:C3"/>
    <mergeCell ref="B4:C4"/>
    <mergeCell ref="B5:C5"/>
    <mergeCell ref="B6:C6"/>
    <mergeCell ref="A7:C7"/>
    <mergeCell ref="A26:C26"/>
    <mergeCell ref="A30:C30"/>
    <mergeCell ref="A41:C41"/>
    <mergeCell ref="B8:C8"/>
    <mergeCell ref="B9:C9"/>
    <mergeCell ref="B10:C10"/>
    <mergeCell ref="B11:C11"/>
    <mergeCell ref="A14:B14"/>
    <mergeCell ref="A19:C19"/>
    <mergeCell ref="A23:C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75"/>
    <col customWidth="1" min="2" max="3" width="8.25"/>
    <col customWidth="1" min="4" max="4" width="3.0"/>
    <col customWidth="1" min="5" max="5" width="20.25"/>
    <col customWidth="1" min="6" max="6" width="9.25"/>
    <col customWidth="1" min="7" max="7" width="7.5"/>
    <col customWidth="1" min="8" max="8" width="8.13"/>
  </cols>
  <sheetData>
    <row r="1" ht="60.75" customHeight="1">
      <c r="A1" s="1" t="s">
        <v>52</v>
      </c>
      <c r="B1" s="2"/>
      <c r="C1" s="2"/>
      <c r="D1" s="3"/>
      <c r="E1" s="4" t="s">
        <v>1</v>
      </c>
      <c r="F1" s="2"/>
      <c r="G1" s="2"/>
      <c r="H1" s="5"/>
    </row>
    <row r="2" ht="15.0" customHeight="1">
      <c r="A2" s="6" t="s">
        <v>2</v>
      </c>
      <c r="B2" s="7" t="s">
        <v>3</v>
      </c>
      <c r="C2" s="8" t="s">
        <v>4</v>
      </c>
      <c r="D2" s="9"/>
      <c r="E2" s="10" t="s">
        <v>5</v>
      </c>
      <c r="F2" s="11" t="s">
        <v>6</v>
      </c>
      <c r="G2" s="12" t="s">
        <v>7</v>
      </c>
      <c r="H2" s="12" t="s">
        <v>8</v>
      </c>
    </row>
    <row r="3" ht="15.0" customHeight="1">
      <c r="A3" s="13" t="s">
        <v>9</v>
      </c>
      <c r="B3" s="14">
        <v>30000.0</v>
      </c>
      <c r="C3" s="15"/>
      <c r="D3" s="9"/>
      <c r="E3" s="16" t="s">
        <v>10</v>
      </c>
      <c r="H3" s="17"/>
    </row>
    <row r="4" ht="15.0" customHeight="1">
      <c r="A4" s="18" t="s">
        <v>11</v>
      </c>
      <c r="B4" s="19">
        <v>40000.0</v>
      </c>
      <c r="C4" s="20"/>
      <c r="D4" s="21"/>
      <c r="E4" s="22" t="s">
        <v>12</v>
      </c>
      <c r="F4" s="23">
        <f>SUM(B35:B47)</f>
        <v>7012</v>
      </c>
      <c r="G4" s="24">
        <f t="shared" ref="G4:G5" si="1">SUM(F4/B9)</f>
        <v>0.1046567164</v>
      </c>
      <c r="H4" s="25">
        <v>0.1</v>
      </c>
    </row>
    <row r="5" ht="15.0" customHeight="1">
      <c r="A5" s="26" t="s">
        <v>13</v>
      </c>
      <c r="B5" s="19">
        <v>-3000.0</v>
      </c>
      <c r="C5" s="27"/>
      <c r="D5" s="21"/>
      <c r="E5" s="28" t="s">
        <v>14</v>
      </c>
      <c r="F5" s="29">
        <f>SUM(B16:B18,B21:B25,B27:B28,B30:B33)</f>
        <v>8100</v>
      </c>
      <c r="G5" s="30">
        <f t="shared" si="1"/>
        <v>0.2196252813</v>
      </c>
      <c r="H5" s="31">
        <v>0.25</v>
      </c>
    </row>
    <row r="6" ht="15.0" customHeight="1">
      <c r="A6" s="32" t="s">
        <v>15</v>
      </c>
      <c r="B6" s="33" t="s">
        <v>53</v>
      </c>
      <c r="C6" s="34"/>
      <c r="D6" s="21"/>
      <c r="E6" s="35" t="s">
        <v>17</v>
      </c>
      <c r="F6" s="36">
        <f>SUM(B49:B50)</f>
        <v>7500</v>
      </c>
      <c r="G6" s="37">
        <f>SUM(F6/B9)</f>
        <v>0.1119402985</v>
      </c>
      <c r="H6" s="38">
        <v>0.25</v>
      </c>
    </row>
    <row r="7" ht="15.0" customHeight="1">
      <c r="A7" s="39" t="s">
        <v>18</v>
      </c>
      <c r="B7" s="40"/>
      <c r="C7" s="41"/>
      <c r="D7" s="21"/>
      <c r="E7" s="42"/>
      <c r="F7" s="43"/>
      <c r="G7" s="43"/>
      <c r="H7" s="44"/>
    </row>
    <row r="8" ht="15.0" customHeight="1">
      <c r="A8" s="45" t="s">
        <v>19</v>
      </c>
      <c r="B8" s="46">
        <f>SUM(B12:B50)</f>
        <v>30119</v>
      </c>
      <c r="C8" s="47"/>
      <c r="D8" s="48"/>
      <c r="E8" s="49"/>
      <c r="H8" s="50"/>
    </row>
    <row r="9" ht="15.0" customHeight="1">
      <c r="A9" s="51" t="s">
        <v>20</v>
      </c>
      <c r="B9" s="46">
        <f>SUM(B3:C5)</f>
        <v>67000</v>
      </c>
      <c r="C9" s="52"/>
      <c r="D9" s="48"/>
      <c r="E9" s="53"/>
      <c r="H9" s="17"/>
    </row>
    <row r="10" ht="15.0" customHeight="1">
      <c r="A10" s="54" t="s">
        <v>21</v>
      </c>
      <c r="B10" s="55">
        <f>SUM(B9-B8)</f>
        <v>36881</v>
      </c>
      <c r="C10" s="47"/>
      <c r="D10" s="48"/>
      <c r="E10" s="49"/>
      <c r="H10" s="50"/>
    </row>
    <row r="11" ht="15.0" customHeight="1">
      <c r="A11" s="56" t="s">
        <v>22</v>
      </c>
      <c r="B11" s="57">
        <f>IFERROR(B10/B9, "-")
</f>
        <v>0.5504626866</v>
      </c>
      <c r="C11" s="58"/>
      <c r="D11" s="48"/>
      <c r="E11" s="53"/>
      <c r="H11" s="17"/>
    </row>
    <row r="12" ht="15.0" customHeight="1">
      <c r="A12" s="59" t="s">
        <v>23</v>
      </c>
      <c r="B12" s="60">
        <v>7.0</v>
      </c>
      <c r="C12" s="60">
        <v>7.0</v>
      </c>
      <c r="D12" s="48"/>
      <c r="E12" s="49"/>
      <c r="H12" s="50"/>
    </row>
    <row r="13" ht="15.0" customHeight="1">
      <c r="A13" s="61" t="s">
        <v>24</v>
      </c>
      <c r="B13" s="62">
        <v>2500.0</v>
      </c>
      <c r="C13" s="63"/>
      <c r="D13" s="48"/>
      <c r="E13" s="53"/>
      <c r="H13" s="17"/>
    </row>
    <row r="14" ht="15.0" customHeight="1">
      <c r="A14" s="114" t="s">
        <v>54</v>
      </c>
      <c r="B14" s="115">
        <v>5000.0</v>
      </c>
      <c r="C14" s="71"/>
      <c r="D14" s="48"/>
      <c r="E14" s="49"/>
      <c r="H14" s="50"/>
    </row>
    <row r="15" ht="15.0" customHeight="1">
      <c r="A15" s="64" t="s">
        <v>25</v>
      </c>
      <c r="B15" s="116"/>
      <c r="C15" s="60">
        <v>7.0</v>
      </c>
      <c r="D15" s="66"/>
      <c r="E15" s="53"/>
      <c r="H15" s="17"/>
    </row>
    <row r="16" ht="15.0" customHeight="1">
      <c r="A16" s="69" t="s">
        <v>26</v>
      </c>
      <c r="B16" s="117">
        <v>0.0</v>
      </c>
      <c r="C16" s="71"/>
      <c r="D16" s="68"/>
      <c r="E16" s="49"/>
      <c r="H16" s="50"/>
    </row>
    <row r="17" ht="15.0" customHeight="1">
      <c r="A17" s="67" t="s">
        <v>26</v>
      </c>
      <c r="B17" s="118">
        <v>0.0</v>
      </c>
      <c r="C17" s="63"/>
      <c r="D17" s="72"/>
      <c r="E17" s="53"/>
      <c r="H17" s="17"/>
    </row>
    <row r="18" ht="15.0" customHeight="1">
      <c r="A18" s="73" t="s">
        <v>27</v>
      </c>
      <c r="B18" s="74">
        <v>0.0</v>
      </c>
      <c r="C18" s="75"/>
      <c r="D18" s="72"/>
      <c r="E18" s="49"/>
      <c r="H18" s="50"/>
    </row>
    <row r="19" ht="15.0" customHeight="1">
      <c r="A19" s="64" t="s">
        <v>28</v>
      </c>
      <c r="B19" s="76"/>
      <c r="C19" s="60">
        <v>7.0</v>
      </c>
      <c r="D19" s="68"/>
      <c r="E19" s="53"/>
      <c r="H19" s="17"/>
    </row>
    <row r="20" ht="15.0" customHeight="1">
      <c r="A20" s="77" t="s">
        <v>29</v>
      </c>
      <c r="B20" s="88"/>
      <c r="C20" s="89"/>
      <c r="D20" s="68"/>
      <c r="E20" s="49"/>
      <c r="H20" s="50"/>
    </row>
    <row r="21" ht="15.0" customHeight="1">
      <c r="A21" s="82" t="s">
        <v>30</v>
      </c>
      <c r="B21" s="90">
        <v>0.0</v>
      </c>
      <c r="C21" s="63"/>
      <c r="D21" s="68"/>
      <c r="E21" s="53"/>
      <c r="H21" s="17"/>
    </row>
    <row r="22" ht="15.0" customHeight="1">
      <c r="A22" s="80" t="s">
        <v>31</v>
      </c>
      <c r="B22" s="117">
        <v>0.0</v>
      </c>
      <c r="C22" s="71"/>
      <c r="D22" s="68"/>
      <c r="E22" s="49"/>
      <c r="H22" s="50"/>
    </row>
    <row r="23" ht="15.0" customHeight="1">
      <c r="A23" s="82" t="s">
        <v>55</v>
      </c>
      <c r="B23" s="62">
        <v>0.0</v>
      </c>
      <c r="C23" s="63"/>
      <c r="D23" s="68"/>
      <c r="E23" s="53"/>
      <c r="H23" s="17"/>
    </row>
    <row r="24" ht="15.0" customHeight="1">
      <c r="A24" s="80" t="s">
        <v>56</v>
      </c>
      <c r="B24" s="117">
        <v>0.0</v>
      </c>
      <c r="C24" s="71"/>
      <c r="D24" s="68"/>
      <c r="E24" s="49"/>
      <c r="H24" s="50"/>
    </row>
    <row r="25" ht="15.0" customHeight="1">
      <c r="A25" s="83" t="s">
        <v>32</v>
      </c>
      <c r="B25" s="75">
        <v>0.0</v>
      </c>
      <c r="C25" s="75"/>
      <c r="D25" s="68"/>
      <c r="E25" s="53"/>
      <c r="H25" s="17"/>
    </row>
    <row r="26">
      <c r="A26" s="77" t="s">
        <v>33</v>
      </c>
      <c r="B26" s="88"/>
      <c r="C26" s="89"/>
      <c r="D26" s="68"/>
      <c r="E26" s="49"/>
      <c r="H26" s="50"/>
    </row>
    <row r="27" ht="15.0" customHeight="1">
      <c r="A27" s="119" t="s">
        <v>34</v>
      </c>
      <c r="B27" s="90">
        <v>4000.0</v>
      </c>
      <c r="C27" s="63"/>
      <c r="D27" s="68"/>
      <c r="E27" s="53"/>
      <c r="H27" s="17"/>
    </row>
    <row r="28" ht="15.0" customHeight="1">
      <c r="A28" s="85" t="s">
        <v>35</v>
      </c>
      <c r="B28" s="86">
        <v>500.0</v>
      </c>
      <c r="C28" s="75"/>
      <c r="D28" s="68"/>
      <c r="E28" s="49"/>
      <c r="H28" s="50"/>
    </row>
    <row r="29" ht="15.0" customHeight="1">
      <c r="A29" s="87" t="s">
        <v>36</v>
      </c>
      <c r="B29" s="78"/>
      <c r="C29" s="79"/>
      <c r="D29" s="68"/>
      <c r="E29" s="53"/>
      <c r="H29" s="17"/>
    </row>
    <row r="30" ht="15.0" customHeight="1">
      <c r="A30" s="80" t="s">
        <v>37</v>
      </c>
      <c r="B30" s="81">
        <v>800.0</v>
      </c>
      <c r="C30" s="71"/>
      <c r="D30" s="68"/>
      <c r="E30" s="49"/>
      <c r="H30" s="50"/>
    </row>
    <row r="31" ht="15.0" customHeight="1">
      <c r="A31" s="82" t="s">
        <v>57</v>
      </c>
      <c r="B31" s="63">
        <v>1500.0</v>
      </c>
      <c r="C31" s="63"/>
      <c r="D31" s="68"/>
      <c r="E31" s="53"/>
      <c r="H31" s="17"/>
    </row>
    <row r="32" ht="15.0" customHeight="1">
      <c r="A32" s="91" t="s">
        <v>38</v>
      </c>
      <c r="B32" s="92">
        <v>800.0</v>
      </c>
      <c r="C32" s="71"/>
      <c r="D32" s="93"/>
      <c r="E32" s="49"/>
      <c r="H32" s="50"/>
    </row>
    <row r="33" ht="15.0" customHeight="1">
      <c r="A33" s="94" t="s">
        <v>39</v>
      </c>
      <c r="B33" s="95">
        <v>500.0</v>
      </c>
      <c r="C33" s="75"/>
      <c r="D33" s="68"/>
      <c r="E33" s="53"/>
      <c r="H33" s="17"/>
    </row>
    <row r="34" ht="15.0" customHeight="1">
      <c r="A34" s="96" t="s">
        <v>12</v>
      </c>
      <c r="B34" s="97"/>
      <c r="C34" s="47"/>
      <c r="D34" s="68"/>
      <c r="E34" s="49"/>
      <c r="H34" s="50"/>
    </row>
    <row r="35" ht="15.0" customHeight="1">
      <c r="A35" s="98" t="s">
        <v>40</v>
      </c>
      <c r="B35" s="99">
        <f>(B3+B4+B5)*2.9%
</f>
        <v>1943</v>
      </c>
      <c r="C35" s="63"/>
      <c r="D35" s="68"/>
      <c r="E35" s="53"/>
      <c r="H35" s="17"/>
    </row>
    <row r="36" ht="15.0" customHeight="1">
      <c r="A36" s="100" t="s">
        <v>41</v>
      </c>
      <c r="B36" s="101">
        <v>3000.0</v>
      </c>
      <c r="C36" s="102"/>
      <c r="D36" s="68"/>
      <c r="E36" s="49"/>
      <c r="H36" s="50"/>
    </row>
    <row r="37" ht="15.0" customHeight="1">
      <c r="A37" s="103" t="s">
        <v>42</v>
      </c>
      <c r="B37" s="104">
        <v>100.0</v>
      </c>
      <c r="C37" s="63"/>
      <c r="D37" s="68"/>
      <c r="E37" s="53"/>
      <c r="H37" s="17"/>
    </row>
    <row r="38" ht="15.0" customHeight="1">
      <c r="A38" s="100" t="s">
        <v>43</v>
      </c>
      <c r="B38" s="101">
        <v>70.0</v>
      </c>
      <c r="C38" s="71"/>
      <c r="D38" s="68"/>
      <c r="E38" s="49"/>
      <c r="H38" s="50"/>
    </row>
    <row r="39" ht="15.0" customHeight="1">
      <c r="A39" s="105" t="s">
        <v>44</v>
      </c>
      <c r="B39" s="104">
        <v>300.0</v>
      </c>
      <c r="C39" s="63"/>
      <c r="D39" s="68"/>
      <c r="E39" s="53"/>
      <c r="H39" s="17"/>
    </row>
    <row r="40" ht="15.0" customHeight="1">
      <c r="A40" s="100" t="s">
        <v>45</v>
      </c>
      <c r="B40" s="101">
        <v>50.0</v>
      </c>
      <c r="C40" s="71"/>
      <c r="D40" s="68"/>
      <c r="E40" s="49"/>
      <c r="H40" s="50"/>
    </row>
    <row r="41" ht="15.0" customHeight="1">
      <c r="A41" s="106" t="s">
        <v>46</v>
      </c>
      <c r="B41" s="104">
        <v>499.0</v>
      </c>
      <c r="C41" s="63"/>
      <c r="D41" s="68"/>
      <c r="E41" s="53"/>
      <c r="H41" s="17"/>
    </row>
    <row r="42" ht="15.0" customHeight="1">
      <c r="A42" s="107" t="s">
        <v>47</v>
      </c>
      <c r="B42" s="101">
        <v>50.0</v>
      </c>
      <c r="C42" s="102"/>
      <c r="D42" s="68"/>
      <c r="E42" s="49"/>
      <c r="H42" s="50"/>
    </row>
    <row r="43" ht="15.0" customHeight="1">
      <c r="A43" s="106" t="s">
        <v>48</v>
      </c>
      <c r="B43" s="104">
        <v>100.0</v>
      </c>
      <c r="C43" s="108"/>
      <c r="D43" s="68"/>
      <c r="E43" s="53"/>
      <c r="H43" s="17"/>
    </row>
    <row r="44" ht="15.0" customHeight="1">
      <c r="A44" s="107" t="s">
        <v>49</v>
      </c>
      <c r="B44" s="101">
        <v>100.0</v>
      </c>
      <c r="C44" s="102"/>
      <c r="D44" s="68"/>
      <c r="E44" s="49"/>
      <c r="H44" s="50"/>
    </row>
    <row r="45" ht="15.0" customHeight="1">
      <c r="A45" s="106" t="s">
        <v>58</v>
      </c>
      <c r="B45" s="104">
        <v>100.0</v>
      </c>
      <c r="C45" s="108"/>
      <c r="D45" s="68"/>
      <c r="E45" s="53"/>
      <c r="H45" s="17"/>
    </row>
    <row r="46" ht="15.0" customHeight="1">
      <c r="A46" s="107" t="s">
        <v>59</v>
      </c>
      <c r="B46" s="101">
        <v>100.0</v>
      </c>
      <c r="C46" s="102"/>
      <c r="D46" s="68"/>
      <c r="E46" s="49"/>
      <c r="H46" s="50"/>
    </row>
    <row r="47" ht="15.0" customHeight="1">
      <c r="A47" s="106" t="s">
        <v>60</v>
      </c>
      <c r="B47" s="104">
        <v>600.0</v>
      </c>
      <c r="C47" s="108"/>
      <c r="D47" s="68"/>
      <c r="E47" s="53"/>
      <c r="H47" s="17"/>
    </row>
    <row r="48" ht="15.0" customHeight="1">
      <c r="A48" s="96" t="s">
        <v>17</v>
      </c>
      <c r="B48" s="97"/>
      <c r="C48" s="47"/>
      <c r="D48" s="68"/>
      <c r="E48" s="49"/>
      <c r="H48" s="50"/>
    </row>
    <row r="49" ht="15.0" customHeight="1">
      <c r="A49" s="120" t="s">
        <v>50</v>
      </c>
      <c r="B49" s="104">
        <v>7500.0</v>
      </c>
      <c r="C49" s="121"/>
      <c r="D49" s="68"/>
      <c r="E49" s="53"/>
      <c r="H49" s="17"/>
    </row>
    <row r="50" ht="15.0" customHeight="1">
      <c r="A50" s="107" t="s">
        <v>51</v>
      </c>
      <c r="B50" s="101">
        <v>0.0</v>
      </c>
      <c r="C50" s="71"/>
      <c r="D50" s="68"/>
      <c r="E50" s="122"/>
      <c r="F50" s="123"/>
      <c r="G50" s="123"/>
      <c r="H50" s="124"/>
    </row>
  </sheetData>
  <mergeCells count="19">
    <mergeCell ref="E3:H3"/>
    <mergeCell ref="E7:H50"/>
    <mergeCell ref="A1:C1"/>
    <mergeCell ref="E1:H1"/>
    <mergeCell ref="B3:C3"/>
    <mergeCell ref="B4:C4"/>
    <mergeCell ref="B5:C5"/>
    <mergeCell ref="B6:C6"/>
    <mergeCell ref="A7:C7"/>
    <mergeCell ref="A29:C29"/>
    <mergeCell ref="A34:C34"/>
    <mergeCell ref="A48:C48"/>
    <mergeCell ref="B8:C8"/>
    <mergeCell ref="B9:C9"/>
    <mergeCell ref="B10:C10"/>
    <mergeCell ref="B11:C11"/>
    <mergeCell ref="A15:B15"/>
    <mergeCell ref="A20:C20"/>
    <mergeCell ref="A26:C2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75"/>
    <col customWidth="1" min="2" max="3" width="8.25"/>
    <col customWidth="1" min="4" max="4" width="3.0"/>
    <col customWidth="1" min="5" max="5" width="20.25"/>
    <col customWidth="1" min="6" max="6" width="9.25"/>
    <col customWidth="1" min="7" max="7" width="7.5"/>
    <col customWidth="1" min="8" max="8" width="8.13"/>
  </cols>
  <sheetData>
    <row r="1" ht="60.75" customHeight="1">
      <c r="A1" s="1" t="s">
        <v>61</v>
      </c>
      <c r="B1" s="2"/>
      <c r="C1" s="2"/>
      <c r="D1" s="3"/>
      <c r="E1" s="4" t="s">
        <v>1</v>
      </c>
      <c r="F1" s="2"/>
      <c r="G1" s="2"/>
      <c r="H1" s="5"/>
    </row>
    <row r="2" ht="15.0" customHeight="1">
      <c r="A2" s="6" t="s">
        <v>2</v>
      </c>
      <c r="B2" s="7" t="s">
        <v>3</v>
      </c>
      <c r="C2" s="8" t="s">
        <v>4</v>
      </c>
      <c r="D2" s="9"/>
      <c r="E2" s="10" t="s">
        <v>5</v>
      </c>
      <c r="F2" s="11" t="s">
        <v>6</v>
      </c>
      <c r="G2" s="12" t="s">
        <v>7</v>
      </c>
      <c r="H2" s="12" t="s">
        <v>8</v>
      </c>
    </row>
    <row r="3" ht="15.0" customHeight="1">
      <c r="A3" s="13" t="s">
        <v>9</v>
      </c>
      <c r="B3" s="14">
        <v>50000.0</v>
      </c>
      <c r="C3" s="15"/>
      <c r="D3" s="9"/>
      <c r="E3" s="16" t="s">
        <v>10</v>
      </c>
      <c r="H3" s="17"/>
    </row>
    <row r="4" ht="15.0" customHeight="1">
      <c r="A4" s="18" t="s">
        <v>11</v>
      </c>
      <c r="B4" s="19">
        <v>70000.0</v>
      </c>
      <c r="C4" s="20"/>
      <c r="D4" s="21"/>
      <c r="E4" s="22" t="s">
        <v>12</v>
      </c>
      <c r="F4" s="23">
        <f>SUM(B42:B54)</f>
        <v>12005</v>
      </c>
      <c r="G4" s="24">
        <f t="shared" ref="G4:G5" si="1">SUM(F4/B9)</f>
        <v>0.1053070175</v>
      </c>
      <c r="H4" s="25">
        <v>0.1</v>
      </c>
    </row>
    <row r="5" ht="15.0" customHeight="1">
      <c r="A5" s="26" t="s">
        <v>13</v>
      </c>
      <c r="B5" s="19">
        <v>-6000.0</v>
      </c>
      <c r="C5" s="27"/>
      <c r="D5" s="21"/>
      <c r="E5" s="28" t="s">
        <v>14</v>
      </c>
      <c r="F5" s="29">
        <f>SUM(B16:B17,B21:B27,B30:B31,B35:B40)</f>
        <v>15000</v>
      </c>
      <c r="G5" s="30">
        <f t="shared" si="1"/>
        <v>0.2830829622</v>
      </c>
      <c r="H5" s="31">
        <v>0.25</v>
      </c>
    </row>
    <row r="6" ht="15.0" customHeight="1">
      <c r="A6" s="32" t="s">
        <v>15</v>
      </c>
      <c r="B6" s="33" t="s">
        <v>62</v>
      </c>
      <c r="C6" s="34"/>
      <c r="D6" s="21"/>
      <c r="E6" s="35" t="s">
        <v>17</v>
      </c>
      <c r="F6" s="36">
        <f>SUM(B57:B58)</f>
        <v>15000</v>
      </c>
      <c r="G6" s="37">
        <f>SUM(F6/B9)</f>
        <v>0.1315789474</v>
      </c>
      <c r="H6" s="38">
        <v>0.25</v>
      </c>
    </row>
    <row r="7" ht="15.0" customHeight="1">
      <c r="A7" s="39" t="s">
        <v>18</v>
      </c>
      <c r="B7" s="40"/>
      <c r="C7" s="41"/>
      <c r="D7" s="21"/>
      <c r="E7" s="42"/>
      <c r="F7" s="43"/>
      <c r="G7" s="43"/>
      <c r="H7" s="44"/>
    </row>
    <row r="8" ht="15.0" customHeight="1">
      <c r="A8" s="45" t="s">
        <v>19</v>
      </c>
      <c r="B8" s="46">
        <f>SUM(B12:B58)</f>
        <v>61012</v>
      </c>
      <c r="C8" s="47"/>
      <c r="D8" s="48"/>
      <c r="E8" s="49"/>
      <c r="H8" s="50"/>
    </row>
    <row r="9" ht="15.0" customHeight="1">
      <c r="A9" s="51" t="s">
        <v>20</v>
      </c>
      <c r="B9" s="46">
        <f>SUM(B3:C5)</f>
        <v>114000</v>
      </c>
      <c r="C9" s="52"/>
      <c r="D9" s="48"/>
      <c r="E9" s="53"/>
      <c r="H9" s="17"/>
    </row>
    <row r="10" ht="15.0" customHeight="1">
      <c r="A10" s="54" t="s">
        <v>21</v>
      </c>
      <c r="B10" s="55">
        <f>SUM(B9-B8)</f>
        <v>52988</v>
      </c>
      <c r="C10" s="47"/>
      <c r="D10" s="48"/>
      <c r="E10" s="49"/>
      <c r="H10" s="50"/>
    </row>
    <row r="11" ht="15.0" customHeight="1">
      <c r="A11" s="56" t="s">
        <v>22</v>
      </c>
      <c r="B11" s="57">
        <f>IFERROR(B10/B9, "-")
</f>
        <v>0.4648070175</v>
      </c>
      <c r="C11" s="58"/>
      <c r="D11" s="48"/>
      <c r="E11" s="53"/>
      <c r="H11" s="17"/>
    </row>
    <row r="12" ht="15.0" customHeight="1">
      <c r="A12" s="59" t="s">
        <v>23</v>
      </c>
      <c r="B12" s="60">
        <v>7.0</v>
      </c>
      <c r="C12" s="60">
        <v>7.0</v>
      </c>
      <c r="D12" s="48"/>
      <c r="E12" s="49"/>
      <c r="H12" s="50"/>
    </row>
    <row r="13" ht="15.0" customHeight="1">
      <c r="A13" s="61" t="s">
        <v>24</v>
      </c>
      <c r="B13" s="62">
        <v>3500.0</v>
      </c>
      <c r="C13" s="63"/>
      <c r="D13" s="48"/>
      <c r="E13" s="53"/>
      <c r="H13" s="17"/>
    </row>
    <row r="14" ht="15.0" customHeight="1">
      <c r="A14" s="114" t="s">
        <v>54</v>
      </c>
      <c r="B14" s="115">
        <v>7500.0</v>
      </c>
      <c r="C14" s="71"/>
      <c r="D14" s="48"/>
      <c r="E14" s="49"/>
      <c r="H14" s="50"/>
    </row>
    <row r="15" ht="15.0" customHeight="1">
      <c r="A15" s="64" t="s">
        <v>25</v>
      </c>
      <c r="B15" s="116"/>
      <c r="C15" s="60">
        <v>7.0</v>
      </c>
      <c r="D15" s="66"/>
      <c r="E15" s="53"/>
      <c r="H15" s="17"/>
    </row>
    <row r="16" ht="15.0" customHeight="1">
      <c r="A16" s="69" t="s">
        <v>63</v>
      </c>
      <c r="B16" s="117">
        <v>3500.0</v>
      </c>
      <c r="C16" s="71"/>
      <c r="D16" s="68"/>
      <c r="E16" s="49"/>
      <c r="H16" s="50"/>
    </row>
    <row r="17" ht="15.0" customHeight="1">
      <c r="A17" s="73" t="s">
        <v>27</v>
      </c>
      <c r="B17" s="74">
        <v>500.0</v>
      </c>
      <c r="C17" s="75"/>
      <c r="D17" s="72"/>
      <c r="E17" s="53"/>
      <c r="H17" s="17"/>
    </row>
    <row r="18" ht="15.0" customHeight="1">
      <c r="A18" s="64" t="s">
        <v>28</v>
      </c>
      <c r="B18" s="76"/>
      <c r="C18" s="60">
        <v>7.0</v>
      </c>
      <c r="D18" s="68"/>
      <c r="E18" s="49"/>
      <c r="H18" s="50"/>
    </row>
    <row r="19" ht="15.0" customHeight="1">
      <c r="A19" s="77" t="s">
        <v>29</v>
      </c>
      <c r="B19" s="78"/>
      <c r="C19" s="79"/>
      <c r="D19" s="68"/>
      <c r="E19" s="53"/>
      <c r="H19" s="17"/>
    </row>
    <row r="20" ht="15.0" customHeight="1">
      <c r="A20" s="125" t="s">
        <v>64</v>
      </c>
      <c r="B20" s="81"/>
      <c r="C20" s="71"/>
      <c r="D20" s="68"/>
      <c r="E20" s="49"/>
      <c r="H20" s="50"/>
    </row>
    <row r="21" ht="15.0" customHeight="1">
      <c r="A21" s="82" t="s">
        <v>30</v>
      </c>
      <c r="B21" s="90"/>
      <c r="C21" s="63"/>
      <c r="D21" s="68"/>
      <c r="E21" s="53"/>
      <c r="H21" s="17"/>
    </row>
    <row r="22" ht="15.0" customHeight="1">
      <c r="A22" s="80" t="s">
        <v>31</v>
      </c>
      <c r="B22" s="81"/>
      <c r="C22" s="71"/>
      <c r="D22" s="68"/>
      <c r="E22" s="49"/>
      <c r="H22" s="50"/>
    </row>
    <row r="23" ht="15.0" customHeight="1">
      <c r="A23" s="82" t="s">
        <v>55</v>
      </c>
      <c r="B23" s="90"/>
      <c r="C23" s="63"/>
      <c r="D23" s="68"/>
      <c r="E23" s="53"/>
      <c r="H23" s="17"/>
    </row>
    <row r="24" ht="15.0" customHeight="1">
      <c r="A24" s="80" t="s">
        <v>56</v>
      </c>
      <c r="B24" s="81"/>
      <c r="C24" s="71"/>
      <c r="D24" s="68"/>
      <c r="E24" s="49"/>
      <c r="H24" s="50"/>
    </row>
    <row r="25" ht="15.0" customHeight="1">
      <c r="A25" s="82" t="s">
        <v>65</v>
      </c>
      <c r="B25" s="90"/>
      <c r="C25" s="63"/>
      <c r="D25" s="68"/>
      <c r="E25" s="53"/>
      <c r="H25" s="17"/>
    </row>
    <row r="26" ht="15.0" customHeight="1">
      <c r="A26" s="80" t="s">
        <v>66</v>
      </c>
      <c r="B26" s="81"/>
      <c r="C26" s="71"/>
      <c r="D26" s="68"/>
      <c r="E26" s="49"/>
      <c r="H26" s="50"/>
    </row>
    <row r="27" ht="15.0" customHeight="1">
      <c r="A27" s="83" t="s">
        <v>32</v>
      </c>
      <c r="B27" s="75"/>
      <c r="C27" s="75"/>
      <c r="D27" s="68"/>
      <c r="E27" s="53"/>
      <c r="H27" s="17"/>
    </row>
    <row r="28">
      <c r="A28" s="77" t="s">
        <v>33</v>
      </c>
      <c r="B28" s="88"/>
      <c r="C28" s="89"/>
      <c r="D28" s="68"/>
      <c r="E28" s="49"/>
      <c r="H28" s="50"/>
    </row>
    <row r="29" ht="15.0" customHeight="1">
      <c r="A29" s="119" t="s">
        <v>34</v>
      </c>
      <c r="B29" s="90">
        <v>4000.0</v>
      </c>
      <c r="C29" s="63"/>
      <c r="D29" s="68"/>
      <c r="E29" s="53"/>
      <c r="H29" s="17"/>
    </row>
    <row r="30" ht="15.0" customHeight="1">
      <c r="A30" s="84" t="s">
        <v>67</v>
      </c>
      <c r="B30" s="81">
        <v>4000.0</v>
      </c>
      <c r="C30" s="71"/>
      <c r="D30" s="68"/>
      <c r="E30" s="49"/>
      <c r="H30" s="50"/>
    </row>
    <row r="31" ht="15.0" customHeight="1">
      <c r="A31" s="85" t="s">
        <v>35</v>
      </c>
      <c r="B31" s="86">
        <v>1000.0</v>
      </c>
      <c r="C31" s="75"/>
      <c r="D31" s="68"/>
      <c r="E31" s="53"/>
      <c r="H31" s="17"/>
    </row>
    <row r="32" ht="15.0" customHeight="1">
      <c r="A32" s="87" t="s">
        <v>36</v>
      </c>
      <c r="B32" s="88"/>
      <c r="C32" s="89"/>
      <c r="D32" s="68"/>
      <c r="E32" s="49"/>
      <c r="H32" s="50"/>
    </row>
    <row r="33" ht="15.0" customHeight="1">
      <c r="A33" s="126" t="s">
        <v>68</v>
      </c>
      <c r="B33" s="63">
        <v>1500.0</v>
      </c>
      <c r="C33" s="63"/>
      <c r="D33" s="68"/>
      <c r="E33" s="53"/>
      <c r="H33" s="17"/>
    </row>
    <row r="34" ht="15.0" customHeight="1">
      <c r="A34" s="125" t="s">
        <v>69</v>
      </c>
      <c r="B34" s="71">
        <v>1500.0</v>
      </c>
      <c r="C34" s="71"/>
      <c r="D34" s="68"/>
      <c r="E34" s="49"/>
      <c r="H34" s="50"/>
    </row>
    <row r="35" ht="15.0" customHeight="1">
      <c r="A35" s="82" t="s">
        <v>37</v>
      </c>
      <c r="B35" s="90">
        <v>1000.0</v>
      </c>
      <c r="C35" s="63"/>
      <c r="D35" s="68"/>
      <c r="E35" s="53"/>
      <c r="H35" s="17"/>
    </row>
    <row r="36" ht="15.0" customHeight="1">
      <c r="A36" s="80" t="s">
        <v>70</v>
      </c>
      <c r="B36" s="81">
        <v>1000.0</v>
      </c>
      <c r="C36" s="71"/>
      <c r="D36" s="68"/>
      <c r="E36" s="49"/>
      <c r="H36" s="50"/>
    </row>
    <row r="37" ht="15.0" customHeight="1">
      <c r="A37" s="82" t="s">
        <v>57</v>
      </c>
      <c r="B37" s="63">
        <v>1500.0</v>
      </c>
      <c r="C37" s="63"/>
      <c r="D37" s="68"/>
      <c r="E37" s="53"/>
      <c r="H37" s="17"/>
    </row>
    <row r="38" ht="15.0" customHeight="1">
      <c r="A38" s="91" t="s">
        <v>38</v>
      </c>
      <c r="B38" s="92">
        <v>1000.0</v>
      </c>
      <c r="C38" s="71"/>
      <c r="D38" s="93"/>
      <c r="E38" s="49"/>
      <c r="H38" s="50"/>
    </row>
    <row r="39" ht="15.0" customHeight="1">
      <c r="A39" s="127" t="s">
        <v>71</v>
      </c>
      <c r="B39" s="128">
        <v>1000.0</v>
      </c>
      <c r="C39" s="63"/>
      <c r="D39" s="93"/>
      <c r="E39" s="53"/>
      <c r="H39" s="17"/>
    </row>
    <row r="40" ht="15.0" customHeight="1">
      <c r="A40" s="94" t="s">
        <v>39</v>
      </c>
      <c r="B40" s="95">
        <v>500.0</v>
      </c>
      <c r="C40" s="75"/>
      <c r="D40" s="68"/>
      <c r="E40" s="49"/>
      <c r="H40" s="50"/>
    </row>
    <row r="41" ht="15.0" customHeight="1">
      <c r="A41" s="96" t="s">
        <v>12</v>
      </c>
      <c r="B41" s="40"/>
      <c r="C41" s="52"/>
      <c r="D41" s="68"/>
      <c r="E41" s="53"/>
      <c r="H41" s="17"/>
    </row>
    <row r="42" ht="15.0" customHeight="1">
      <c r="A42" s="129" t="s">
        <v>40</v>
      </c>
      <c r="B42" s="130">
        <f>(B3+B4+B5)*2.9%
</f>
        <v>3306</v>
      </c>
      <c r="C42" s="71"/>
      <c r="D42" s="68"/>
      <c r="E42" s="49"/>
      <c r="H42" s="50"/>
    </row>
    <row r="43" ht="15.0" customHeight="1">
      <c r="A43" s="105" t="s">
        <v>41</v>
      </c>
      <c r="B43" s="104">
        <v>6000.0</v>
      </c>
      <c r="C43" s="108"/>
      <c r="D43" s="68"/>
      <c r="E43" s="53"/>
      <c r="H43" s="17"/>
    </row>
    <row r="44" ht="15.0" customHeight="1">
      <c r="A44" s="131" t="s">
        <v>42</v>
      </c>
      <c r="B44" s="101">
        <v>200.0</v>
      </c>
      <c r="C44" s="71"/>
      <c r="D44" s="68"/>
      <c r="E44" s="49"/>
      <c r="H44" s="50"/>
    </row>
    <row r="45" ht="15.0" customHeight="1">
      <c r="A45" s="105" t="s">
        <v>43</v>
      </c>
      <c r="B45" s="104">
        <v>100.0</v>
      </c>
      <c r="C45" s="63"/>
      <c r="D45" s="68"/>
      <c r="E45" s="53"/>
      <c r="H45" s="17"/>
    </row>
    <row r="46" ht="15.0" customHeight="1">
      <c r="A46" s="100" t="s">
        <v>44</v>
      </c>
      <c r="B46" s="101">
        <v>300.0</v>
      </c>
      <c r="C46" s="71"/>
      <c r="D46" s="68"/>
      <c r="E46" s="49"/>
      <c r="H46" s="50"/>
    </row>
    <row r="47" ht="15.0" customHeight="1">
      <c r="A47" s="105" t="s">
        <v>45</v>
      </c>
      <c r="B47" s="104">
        <v>50.0</v>
      </c>
      <c r="C47" s="63"/>
      <c r="D47" s="68"/>
      <c r="E47" s="53"/>
      <c r="H47" s="17"/>
    </row>
    <row r="48" ht="15.0" customHeight="1">
      <c r="A48" s="107" t="s">
        <v>46</v>
      </c>
      <c r="B48" s="101">
        <v>499.0</v>
      </c>
      <c r="C48" s="71"/>
      <c r="D48" s="68"/>
      <c r="E48" s="49"/>
      <c r="H48" s="50"/>
    </row>
    <row r="49" ht="15.0" customHeight="1">
      <c r="A49" s="106" t="s">
        <v>47</v>
      </c>
      <c r="B49" s="104">
        <v>50.0</v>
      </c>
      <c r="C49" s="108"/>
      <c r="D49" s="68"/>
      <c r="E49" s="53"/>
      <c r="H49" s="17"/>
    </row>
    <row r="50" ht="15.0" customHeight="1">
      <c r="A50" s="107" t="s">
        <v>48</v>
      </c>
      <c r="B50" s="101">
        <v>200.0</v>
      </c>
      <c r="C50" s="102"/>
      <c r="D50" s="68"/>
      <c r="E50" s="49"/>
      <c r="H50" s="50"/>
    </row>
    <row r="51" ht="15.0" customHeight="1">
      <c r="A51" s="106" t="s">
        <v>49</v>
      </c>
      <c r="B51" s="104">
        <v>100.0</v>
      </c>
      <c r="C51" s="108"/>
      <c r="D51" s="68"/>
      <c r="E51" s="53"/>
      <c r="H51" s="17"/>
    </row>
    <row r="52" ht="15.0" customHeight="1">
      <c r="A52" s="107" t="s">
        <v>58</v>
      </c>
      <c r="B52" s="101">
        <v>100.0</v>
      </c>
      <c r="C52" s="102"/>
      <c r="D52" s="68"/>
      <c r="E52" s="49"/>
      <c r="H52" s="50"/>
    </row>
    <row r="53" ht="15.0" customHeight="1">
      <c r="A53" s="106" t="s">
        <v>59</v>
      </c>
      <c r="B53" s="104">
        <v>100.0</v>
      </c>
      <c r="C53" s="108"/>
      <c r="D53" s="68"/>
      <c r="E53" s="53"/>
      <c r="H53" s="17"/>
    </row>
    <row r="54" ht="15.0" customHeight="1">
      <c r="A54" s="107" t="s">
        <v>60</v>
      </c>
      <c r="B54" s="101">
        <v>1000.0</v>
      </c>
      <c r="C54" s="102"/>
      <c r="D54" s="68"/>
      <c r="E54" s="49"/>
      <c r="H54" s="50"/>
    </row>
    <row r="55" ht="15.0" customHeight="1">
      <c r="A55" s="106" t="s">
        <v>72</v>
      </c>
      <c r="B55" s="104">
        <v>1000.0</v>
      </c>
      <c r="C55" s="108"/>
      <c r="D55" s="68"/>
      <c r="E55" s="53"/>
      <c r="H55" s="17"/>
    </row>
    <row r="56" ht="15.0" customHeight="1">
      <c r="A56" s="96" t="s">
        <v>17</v>
      </c>
      <c r="B56" s="97"/>
      <c r="C56" s="47"/>
      <c r="D56" s="68"/>
      <c r="E56" s="49"/>
      <c r="H56" s="50"/>
    </row>
    <row r="57" ht="15.0" customHeight="1">
      <c r="A57" s="120" t="s">
        <v>50</v>
      </c>
      <c r="B57" s="104">
        <v>15000.0</v>
      </c>
      <c r="C57" s="121"/>
      <c r="D57" s="68"/>
      <c r="E57" s="53"/>
      <c r="H57" s="17"/>
    </row>
    <row r="58" ht="15.0" customHeight="1">
      <c r="A58" s="107" t="s">
        <v>51</v>
      </c>
      <c r="B58" s="101">
        <v>0.0</v>
      </c>
      <c r="C58" s="71"/>
      <c r="D58" s="68"/>
      <c r="E58" s="122"/>
      <c r="F58" s="123"/>
      <c r="G58" s="123"/>
      <c r="H58" s="124"/>
    </row>
  </sheetData>
  <mergeCells count="19">
    <mergeCell ref="E3:H3"/>
    <mergeCell ref="E7:H58"/>
    <mergeCell ref="A1:C1"/>
    <mergeCell ref="E1:H1"/>
    <mergeCell ref="B3:C3"/>
    <mergeCell ref="B4:C4"/>
    <mergeCell ref="B5:C5"/>
    <mergeCell ref="B6:C6"/>
    <mergeCell ref="A7:C7"/>
    <mergeCell ref="A32:C32"/>
    <mergeCell ref="A41:C41"/>
    <mergeCell ref="A56:C56"/>
    <mergeCell ref="B8:C8"/>
    <mergeCell ref="B9:C9"/>
    <mergeCell ref="B10:C10"/>
    <mergeCell ref="B11:C11"/>
    <mergeCell ref="A15:B15"/>
    <mergeCell ref="A19:C19"/>
    <mergeCell ref="A28:C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75"/>
    <col customWidth="1" min="2" max="3" width="8.25"/>
    <col customWidth="1" min="4" max="4" width="3.0"/>
    <col customWidth="1" min="5" max="5" width="20.25"/>
    <col customWidth="1" min="6" max="6" width="9.25"/>
    <col customWidth="1" min="7" max="7" width="7.5"/>
    <col customWidth="1" min="8" max="8" width="8.13"/>
  </cols>
  <sheetData>
    <row r="1" ht="60.75" customHeight="1">
      <c r="A1" s="1" t="s">
        <v>73</v>
      </c>
      <c r="B1" s="2"/>
      <c r="C1" s="2"/>
      <c r="D1" s="3"/>
      <c r="E1" s="4" t="s">
        <v>1</v>
      </c>
      <c r="F1" s="2"/>
      <c r="G1" s="2"/>
      <c r="H1" s="5"/>
    </row>
    <row r="2" ht="15.0" customHeight="1">
      <c r="A2" s="6" t="s">
        <v>2</v>
      </c>
      <c r="B2" s="7" t="s">
        <v>3</v>
      </c>
      <c r="C2" s="8" t="s">
        <v>4</v>
      </c>
      <c r="D2" s="9"/>
      <c r="E2" s="10" t="s">
        <v>5</v>
      </c>
      <c r="F2" s="11" t="s">
        <v>6</v>
      </c>
      <c r="G2" s="12" t="s">
        <v>7</v>
      </c>
      <c r="H2" s="12" t="s">
        <v>8</v>
      </c>
    </row>
    <row r="3" ht="15.0" customHeight="1">
      <c r="A3" s="13" t="s">
        <v>9</v>
      </c>
      <c r="B3" s="14">
        <v>50000.0</v>
      </c>
      <c r="C3" s="15"/>
      <c r="D3" s="9"/>
      <c r="E3" s="16" t="s">
        <v>10</v>
      </c>
      <c r="H3" s="17"/>
    </row>
    <row r="4" ht="15.0" customHeight="1">
      <c r="A4" s="18" t="s">
        <v>11</v>
      </c>
      <c r="B4" s="19">
        <v>150000.0</v>
      </c>
      <c r="C4" s="20"/>
      <c r="D4" s="21"/>
      <c r="E4" s="22" t="s">
        <v>12</v>
      </c>
      <c r="F4" s="23">
        <f>SUM(B50:B62)</f>
        <v>17209</v>
      </c>
      <c r="G4" s="24">
        <f t="shared" ref="G4:G5" si="1">SUM(F4/B9)</f>
        <v>0.09057368421</v>
      </c>
      <c r="H4" s="25">
        <v>0.1</v>
      </c>
    </row>
    <row r="5" ht="15.0" customHeight="1">
      <c r="A5" s="26" t="s">
        <v>13</v>
      </c>
      <c r="B5" s="19">
        <v>-10000.0</v>
      </c>
      <c r="C5" s="27"/>
      <c r="D5" s="21"/>
      <c r="E5" s="28" t="s">
        <v>14</v>
      </c>
      <c r="F5" s="29">
        <f>SUM(B16:B18,B22:B32,B35:B37,B41:B48)</f>
        <v>33000</v>
      </c>
      <c r="G5" s="30">
        <f t="shared" si="1"/>
        <v>0.3427360725</v>
      </c>
      <c r="H5" s="31">
        <v>0.25</v>
      </c>
    </row>
    <row r="6" ht="15.0" customHeight="1">
      <c r="A6" s="32" t="s">
        <v>15</v>
      </c>
      <c r="B6" s="33" t="s">
        <v>74</v>
      </c>
      <c r="C6" s="34"/>
      <c r="D6" s="21"/>
      <c r="E6" s="35" t="s">
        <v>17</v>
      </c>
      <c r="F6" s="36">
        <f>SUM(B65:B66)</f>
        <v>20000</v>
      </c>
      <c r="G6" s="37">
        <f>SUM(F6/B9)</f>
        <v>0.1052631579</v>
      </c>
      <c r="H6" s="38">
        <v>0.25</v>
      </c>
    </row>
    <row r="7" ht="15.0" customHeight="1">
      <c r="A7" s="39" t="s">
        <v>18</v>
      </c>
      <c r="B7" s="40"/>
      <c r="C7" s="41"/>
      <c r="D7" s="21"/>
      <c r="E7" s="42"/>
      <c r="F7" s="43"/>
      <c r="G7" s="43"/>
      <c r="H7" s="44"/>
    </row>
    <row r="8" ht="15.0" customHeight="1">
      <c r="A8" s="45" t="s">
        <v>19</v>
      </c>
      <c r="B8" s="46">
        <f>SUM(B12:B66)</f>
        <v>93716</v>
      </c>
      <c r="C8" s="47"/>
      <c r="D8" s="48"/>
      <c r="E8" s="49"/>
      <c r="H8" s="50"/>
    </row>
    <row r="9" ht="15.0" customHeight="1">
      <c r="A9" s="51" t="s">
        <v>20</v>
      </c>
      <c r="B9" s="46">
        <f>SUM(B3:C5)</f>
        <v>190000</v>
      </c>
      <c r="C9" s="52"/>
      <c r="D9" s="48"/>
      <c r="E9" s="53"/>
      <c r="H9" s="17"/>
    </row>
    <row r="10" ht="15.0" customHeight="1">
      <c r="A10" s="54" t="s">
        <v>21</v>
      </c>
      <c r="B10" s="55">
        <f>SUM(B9-B8)</f>
        <v>96284</v>
      </c>
      <c r="C10" s="47"/>
      <c r="D10" s="48"/>
      <c r="E10" s="49"/>
      <c r="H10" s="50"/>
    </row>
    <row r="11" ht="15.0" customHeight="1">
      <c r="A11" s="56" t="s">
        <v>22</v>
      </c>
      <c r="B11" s="57">
        <f>IFERROR(B10/B9, "-")
</f>
        <v>0.5067578947</v>
      </c>
      <c r="C11" s="58"/>
      <c r="D11" s="48"/>
      <c r="E11" s="53"/>
      <c r="H11" s="17"/>
    </row>
    <row r="12" ht="15.0" customHeight="1">
      <c r="A12" s="59" t="s">
        <v>23</v>
      </c>
      <c r="B12" s="60">
        <v>7.0</v>
      </c>
      <c r="C12" s="60">
        <v>7.0</v>
      </c>
      <c r="D12" s="48"/>
      <c r="E12" s="49"/>
      <c r="H12" s="50"/>
    </row>
    <row r="13" ht="15.0" customHeight="1">
      <c r="A13" s="61" t="s">
        <v>24</v>
      </c>
      <c r="B13" s="62">
        <v>3500.0</v>
      </c>
      <c r="C13" s="63"/>
      <c r="D13" s="48"/>
      <c r="E13" s="53"/>
      <c r="H13" s="17"/>
    </row>
    <row r="14" ht="15.0" customHeight="1">
      <c r="A14" s="114" t="s">
        <v>54</v>
      </c>
      <c r="B14" s="115">
        <v>10000.0</v>
      </c>
      <c r="C14" s="71"/>
      <c r="D14" s="48"/>
      <c r="E14" s="49"/>
      <c r="H14" s="50"/>
    </row>
    <row r="15" ht="15.0" customHeight="1">
      <c r="A15" s="64" t="s">
        <v>25</v>
      </c>
      <c r="B15" s="116"/>
      <c r="C15" s="60">
        <v>7.0</v>
      </c>
      <c r="D15" s="66"/>
      <c r="E15" s="53"/>
      <c r="H15" s="17"/>
    </row>
    <row r="16" ht="15.0" customHeight="1">
      <c r="A16" s="69" t="s">
        <v>63</v>
      </c>
      <c r="B16" s="117">
        <v>4000.0</v>
      </c>
      <c r="C16" s="71"/>
      <c r="D16" s="68"/>
      <c r="E16" s="49"/>
      <c r="H16" s="50"/>
    </row>
    <row r="17" ht="15.0" customHeight="1">
      <c r="A17" s="132" t="s">
        <v>75</v>
      </c>
      <c r="B17" s="133">
        <v>8000.0</v>
      </c>
      <c r="C17" s="63"/>
      <c r="D17" s="68"/>
      <c r="E17" s="53"/>
      <c r="H17" s="17"/>
    </row>
    <row r="18" ht="15.0" customHeight="1">
      <c r="A18" s="73" t="s">
        <v>27</v>
      </c>
      <c r="B18" s="74">
        <v>3000.0</v>
      </c>
      <c r="C18" s="75"/>
      <c r="D18" s="72"/>
      <c r="E18" s="49"/>
      <c r="H18" s="50"/>
    </row>
    <row r="19" ht="15.0" customHeight="1">
      <c r="A19" s="64" t="s">
        <v>28</v>
      </c>
      <c r="B19" s="76"/>
      <c r="C19" s="60">
        <v>7.0</v>
      </c>
      <c r="D19" s="68"/>
      <c r="E19" s="53"/>
      <c r="H19" s="17"/>
    </row>
    <row r="20" ht="15.0" customHeight="1">
      <c r="A20" s="77" t="s">
        <v>29</v>
      </c>
      <c r="B20" s="88"/>
      <c r="C20" s="89"/>
      <c r="D20" s="68"/>
      <c r="E20" s="49"/>
      <c r="H20" s="50"/>
    </row>
    <row r="21" ht="15.0" customHeight="1">
      <c r="A21" s="126" t="s">
        <v>64</v>
      </c>
      <c r="B21" s="90"/>
      <c r="C21" s="63"/>
      <c r="D21" s="68"/>
      <c r="E21" s="53"/>
      <c r="H21" s="17"/>
    </row>
    <row r="22" ht="15.0" customHeight="1">
      <c r="A22" s="80" t="s">
        <v>30</v>
      </c>
      <c r="B22" s="81"/>
      <c r="C22" s="71"/>
      <c r="D22" s="68"/>
      <c r="E22" s="49"/>
      <c r="H22" s="50"/>
    </row>
    <row r="23" ht="15.0" customHeight="1">
      <c r="A23" s="82" t="s">
        <v>31</v>
      </c>
      <c r="B23" s="90"/>
      <c r="C23" s="63"/>
      <c r="D23" s="68"/>
      <c r="E23" s="53"/>
      <c r="H23" s="17"/>
    </row>
    <row r="24" ht="15.0" customHeight="1">
      <c r="A24" s="80" t="s">
        <v>55</v>
      </c>
      <c r="B24" s="81"/>
      <c r="C24" s="71"/>
      <c r="D24" s="68"/>
      <c r="E24" s="49"/>
      <c r="H24" s="50"/>
    </row>
    <row r="25" ht="15.0" customHeight="1">
      <c r="A25" s="82" t="s">
        <v>56</v>
      </c>
      <c r="B25" s="90"/>
      <c r="C25" s="63"/>
      <c r="D25" s="68"/>
      <c r="E25" s="53"/>
      <c r="H25" s="17"/>
    </row>
    <row r="26" ht="15.0" customHeight="1">
      <c r="A26" s="80" t="s">
        <v>65</v>
      </c>
      <c r="B26" s="81"/>
      <c r="C26" s="71"/>
      <c r="D26" s="68"/>
      <c r="E26" s="49"/>
      <c r="H26" s="50"/>
    </row>
    <row r="27" ht="15.0" customHeight="1">
      <c r="A27" s="82" t="s">
        <v>66</v>
      </c>
      <c r="B27" s="90"/>
      <c r="C27" s="63"/>
      <c r="D27" s="68"/>
      <c r="E27" s="53"/>
      <c r="H27" s="17"/>
    </row>
    <row r="28" ht="15.0" customHeight="1">
      <c r="A28" s="80" t="s">
        <v>76</v>
      </c>
      <c r="B28" s="81"/>
      <c r="C28" s="71"/>
      <c r="D28" s="68"/>
      <c r="E28" s="49"/>
      <c r="H28" s="50"/>
    </row>
    <row r="29" ht="15.0" customHeight="1">
      <c r="A29" s="82" t="s">
        <v>77</v>
      </c>
      <c r="B29" s="90"/>
      <c r="C29" s="63"/>
      <c r="D29" s="68"/>
      <c r="E29" s="53"/>
      <c r="H29" s="17"/>
    </row>
    <row r="30" ht="15.0" customHeight="1">
      <c r="A30" s="80" t="s">
        <v>78</v>
      </c>
      <c r="B30" s="81"/>
      <c r="C30" s="71"/>
      <c r="D30" s="68"/>
      <c r="E30" s="49"/>
      <c r="H30" s="50"/>
    </row>
    <row r="31" ht="15.0" customHeight="1">
      <c r="A31" s="82" t="s">
        <v>79</v>
      </c>
      <c r="B31" s="90"/>
      <c r="C31" s="63"/>
      <c r="D31" s="68"/>
      <c r="E31" s="53"/>
      <c r="H31" s="17"/>
    </row>
    <row r="32" ht="15.0" customHeight="1">
      <c r="A32" s="83" t="s">
        <v>32</v>
      </c>
      <c r="B32" s="75">
        <v>0.0</v>
      </c>
      <c r="C32" s="75"/>
      <c r="D32" s="68"/>
      <c r="E32" s="49"/>
      <c r="H32" s="50"/>
    </row>
    <row r="33">
      <c r="A33" s="77" t="s">
        <v>33</v>
      </c>
      <c r="B33" s="78"/>
      <c r="C33" s="79"/>
      <c r="D33" s="68"/>
      <c r="E33" s="53"/>
      <c r="H33" s="17"/>
    </row>
    <row r="34" ht="15.0" customHeight="1">
      <c r="A34" s="84" t="s">
        <v>34</v>
      </c>
      <c r="B34" s="81">
        <v>4000.0</v>
      </c>
      <c r="C34" s="71"/>
      <c r="D34" s="68"/>
      <c r="E34" s="49"/>
      <c r="H34" s="50"/>
    </row>
    <row r="35" ht="15.0" customHeight="1">
      <c r="A35" s="119" t="s">
        <v>67</v>
      </c>
      <c r="B35" s="90">
        <v>4000.0</v>
      </c>
      <c r="C35" s="63"/>
      <c r="D35" s="68"/>
      <c r="E35" s="53"/>
      <c r="H35" s="17"/>
    </row>
    <row r="36" ht="15.0" customHeight="1">
      <c r="A36" s="84" t="s">
        <v>80</v>
      </c>
      <c r="B36" s="81">
        <v>4000.0</v>
      </c>
      <c r="C36" s="71"/>
      <c r="D36" s="68"/>
      <c r="E36" s="49"/>
      <c r="H36" s="50"/>
    </row>
    <row r="37" ht="15.0" customHeight="1">
      <c r="A37" s="85" t="s">
        <v>35</v>
      </c>
      <c r="B37" s="86">
        <v>1500.0</v>
      </c>
      <c r="C37" s="75"/>
      <c r="D37" s="68"/>
      <c r="E37" s="53"/>
      <c r="H37" s="17"/>
    </row>
    <row r="38" ht="15.0" customHeight="1">
      <c r="A38" s="87" t="s">
        <v>36</v>
      </c>
      <c r="B38" s="88"/>
      <c r="C38" s="89"/>
      <c r="D38" s="68"/>
      <c r="E38" s="49"/>
      <c r="H38" s="50"/>
    </row>
    <row r="39" ht="15.0" customHeight="1">
      <c r="A39" s="126" t="s">
        <v>68</v>
      </c>
      <c r="B39" s="63">
        <v>1500.0</v>
      </c>
      <c r="C39" s="63"/>
      <c r="D39" s="68"/>
      <c r="E39" s="53"/>
      <c r="H39" s="17"/>
    </row>
    <row r="40" ht="15.0" customHeight="1">
      <c r="A40" s="125" t="s">
        <v>69</v>
      </c>
      <c r="B40" s="71">
        <v>1500.0</v>
      </c>
      <c r="C40" s="71"/>
      <c r="D40" s="68"/>
      <c r="E40" s="49"/>
      <c r="H40" s="50"/>
    </row>
    <row r="41" ht="15.0" customHeight="1">
      <c r="A41" s="82" t="s">
        <v>37</v>
      </c>
      <c r="B41" s="90">
        <v>1000.0</v>
      </c>
      <c r="C41" s="63"/>
      <c r="D41" s="68"/>
      <c r="E41" s="53"/>
      <c r="H41" s="17"/>
    </row>
    <row r="42" ht="15.0" customHeight="1">
      <c r="A42" s="80" t="s">
        <v>70</v>
      </c>
      <c r="B42" s="81">
        <v>1000.0</v>
      </c>
      <c r="C42" s="71"/>
      <c r="D42" s="68"/>
      <c r="E42" s="49"/>
      <c r="H42" s="50"/>
    </row>
    <row r="43" ht="15.0" customHeight="1">
      <c r="A43" s="82" t="s">
        <v>81</v>
      </c>
      <c r="B43" s="90">
        <v>1000.0</v>
      </c>
      <c r="C43" s="63"/>
      <c r="D43" s="68"/>
      <c r="E43" s="53"/>
      <c r="H43" s="17"/>
    </row>
    <row r="44" ht="15.0" customHeight="1">
      <c r="A44" s="80" t="s">
        <v>57</v>
      </c>
      <c r="B44" s="71">
        <v>2000.0</v>
      </c>
      <c r="C44" s="71"/>
      <c r="D44" s="68"/>
      <c r="E44" s="49"/>
      <c r="H44" s="50"/>
    </row>
    <row r="45" ht="15.0" customHeight="1">
      <c r="A45" s="127" t="s">
        <v>38</v>
      </c>
      <c r="B45" s="128">
        <v>1000.0</v>
      </c>
      <c r="C45" s="63"/>
      <c r="D45" s="93"/>
      <c r="E45" s="53"/>
      <c r="H45" s="17"/>
    </row>
    <row r="46" ht="15.0" customHeight="1">
      <c r="A46" s="91" t="s">
        <v>71</v>
      </c>
      <c r="B46" s="92">
        <v>1000.0</v>
      </c>
      <c r="C46" s="71"/>
      <c r="D46" s="93"/>
      <c r="E46" s="49"/>
      <c r="H46" s="50"/>
    </row>
    <row r="47" ht="15.0" customHeight="1">
      <c r="A47" s="127" t="s">
        <v>82</v>
      </c>
      <c r="B47" s="128">
        <v>1000.0</v>
      </c>
      <c r="C47" s="63"/>
      <c r="D47" s="93"/>
      <c r="E47" s="53"/>
      <c r="H47" s="17"/>
    </row>
    <row r="48" ht="15.0" customHeight="1">
      <c r="A48" s="94" t="s">
        <v>39</v>
      </c>
      <c r="B48" s="95">
        <v>500.0</v>
      </c>
      <c r="C48" s="75"/>
      <c r="D48" s="68"/>
      <c r="E48" s="49"/>
      <c r="H48" s="50"/>
    </row>
    <row r="49" ht="15.0" customHeight="1">
      <c r="A49" s="96" t="s">
        <v>12</v>
      </c>
      <c r="B49" s="40"/>
      <c r="C49" s="52"/>
      <c r="D49" s="68"/>
      <c r="E49" s="53"/>
      <c r="H49" s="17"/>
    </row>
    <row r="50" ht="15.0" customHeight="1">
      <c r="A50" s="129" t="s">
        <v>40</v>
      </c>
      <c r="B50" s="130">
        <f>(B3+B4+B5)*2.9%
</f>
        <v>5510</v>
      </c>
      <c r="C50" s="71"/>
      <c r="D50" s="68"/>
      <c r="E50" s="49"/>
      <c r="H50" s="50"/>
    </row>
    <row r="51" ht="15.0" customHeight="1">
      <c r="A51" s="105" t="s">
        <v>41</v>
      </c>
      <c r="B51" s="104">
        <v>9000.0</v>
      </c>
      <c r="C51" s="108"/>
      <c r="D51" s="68"/>
      <c r="E51" s="53"/>
      <c r="H51" s="17"/>
    </row>
    <row r="52" ht="15.0" customHeight="1">
      <c r="A52" s="131" t="s">
        <v>42</v>
      </c>
      <c r="B52" s="101">
        <v>200.0</v>
      </c>
      <c r="C52" s="71"/>
      <c r="D52" s="68"/>
      <c r="E52" s="49"/>
      <c r="H52" s="50"/>
    </row>
    <row r="53" ht="15.0" customHeight="1">
      <c r="A53" s="105" t="s">
        <v>43</v>
      </c>
      <c r="B53" s="104">
        <v>100.0</v>
      </c>
      <c r="C53" s="63"/>
      <c r="D53" s="68"/>
      <c r="E53" s="53"/>
      <c r="H53" s="17"/>
    </row>
    <row r="54" ht="15.0" customHeight="1">
      <c r="A54" s="100" t="s">
        <v>44</v>
      </c>
      <c r="B54" s="101">
        <v>300.0</v>
      </c>
      <c r="C54" s="71"/>
      <c r="D54" s="68"/>
      <c r="E54" s="49"/>
      <c r="H54" s="50"/>
    </row>
    <row r="55" ht="15.0" customHeight="1">
      <c r="A55" s="105" t="s">
        <v>45</v>
      </c>
      <c r="B55" s="104">
        <v>50.0</v>
      </c>
      <c r="C55" s="63"/>
      <c r="D55" s="68"/>
      <c r="E55" s="53"/>
      <c r="H55" s="17"/>
    </row>
    <row r="56" ht="15.0" customHeight="1">
      <c r="A56" s="107" t="s">
        <v>46</v>
      </c>
      <c r="B56" s="101">
        <v>499.0</v>
      </c>
      <c r="C56" s="71"/>
      <c r="D56" s="68"/>
      <c r="E56" s="49"/>
      <c r="H56" s="50"/>
    </row>
    <row r="57" ht="15.0" customHeight="1">
      <c r="A57" s="106" t="s">
        <v>47</v>
      </c>
      <c r="B57" s="104">
        <v>50.0</v>
      </c>
      <c r="C57" s="108"/>
      <c r="D57" s="68"/>
      <c r="E57" s="53"/>
      <c r="H57" s="17"/>
    </row>
    <row r="58" ht="15.0" customHeight="1">
      <c r="A58" s="107" t="s">
        <v>48</v>
      </c>
      <c r="B58" s="101">
        <v>200.0</v>
      </c>
      <c r="C58" s="102"/>
      <c r="D58" s="68"/>
      <c r="E58" s="49"/>
      <c r="H58" s="50"/>
    </row>
    <row r="59" ht="15.0" customHeight="1">
      <c r="A59" s="106" t="s">
        <v>49</v>
      </c>
      <c r="B59" s="104">
        <v>100.0</v>
      </c>
      <c r="C59" s="108"/>
      <c r="D59" s="68"/>
      <c r="E59" s="53"/>
      <c r="H59" s="17"/>
    </row>
    <row r="60" ht="15.0" customHeight="1">
      <c r="A60" s="107" t="s">
        <v>58</v>
      </c>
      <c r="B60" s="101">
        <v>100.0</v>
      </c>
      <c r="C60" s="102"/>
      <c r="D60" s="68"/>
      <c r="E60" s="49"/>
      <c r="H60" s="50"/>
    </row>
    <row r="61" ht="15.0" customHeight="1">
      <c r="A61" s="106" t="s">
        <v>59</v>
      </c>
      <c r="B61" s="104">
        <v>100.0</v>
      </c>
      <c r="C61" s="108"/>
      <c r="D61" s="68"/>
      <c r="E61" s="53"/>
      <c r="H61" s="17"/>
    </row>
    <row r="62" ht="15.0" customHeight="1">
      <c r="A62" s="107" t="s">
        <v>60</v>
      </c>
      <c r="B62" s="101">
        <v>1000.0</v>
      </c>
      <c r="C62" s="102"/>
      <c r="D62" s="68"/>
      <c r="E62" s="49"/>
      <c r="H62" s="50"/>
    </row>
    <row r="63" ht="15.0" customHeight="1">
      <c r="A63" s="106" t="s">
        <v>72</v>
      </c>
      <c r="B63" s="104">
        <v>3000.0</v>
      </c>
      <c r="C63" s="108"/>
      <c r="D63" s="68"/>
      <c r="E63" s="53"/>
      <c r="H63" s="17"/>
    </row>
    <row r="64" ht="15.0" customHeight="1">
      <c r="A64" s="96" t="s">
        <v>17</v>
      </c>
      <c r="B64" s="97"/>
      <c r="C64" s="47"/>
      <c r="D64" s="68"/>
      <c r="E64" s="49"/>
      <c r="H64" s="50"/>
    </row>
    <row r="65" ht="15.0" customHeight="1">
      <c r="A65" s="120" t="s">
        <v>50</v>
      </c>
      <c r="B65" s="104">
        <v>20000.0</v>
      </c>
      <c r="C65" s="121"/>
      <c r="D65" s="68"/>
      <c r="E65" s="53"/>
      <c r="H65" s="17"/>
    </row>
    <row r="66" ht="15.0" customHeight="1">
      <c r="A66" s="107" t="s">
        <v>51</v>
      </c>
      <c r="B66" s="101">
        <v>0.0</v>
      </c>
      <c r="C66" s="71"/>
      <c r="D66" s="68"/>
      <c r="E66" s="122"/>
      <c r="F66" s="123"/>
      <c r="G66" s="123"/>
      <c r="H66" s="124"/>
    </row>
  </sheetData>
  <mergeCells count="19">
    <mergeCell ref="E3:H3"/>
    <mergeCell ref="E7:H66"/>
    <mergeCell ref="A1:C1"/>
    <mergeCell ref="E1:H1"/>
    <mergeCell ref="B3:C3"/>
    <mergeCell ref="B4:C4"/>
    <mergeCell ref="B5:C5"/>
    <mergeCell ref="B6:C6"/>
    <mergeCell ref="A7:C7"/>
    <mergeCell ref="A38:C38"/>
    <mergeCell ref="A49:C49"/>
    <mergeCell ref="A64:C64"/>
    <mergeCell ref="B8:C8"/>
    <mergeCell ref="B9:C9"/>
    <mergeCell ref="B10:C10"/>
    <mergeCell ref="B11:C11"/>
    <mergeCell ref="A15:B15"/>
    <mergeCell ref="A20:C20"/>
    <mergeCell ref="A33:C3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